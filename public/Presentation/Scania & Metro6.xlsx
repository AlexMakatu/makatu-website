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za\Desktop\"/>
    </mc:Choice>
  </mc:AlternateContent>
  <xr:revisionPtr revIDLastSave="0" documentId="13_ncr:1_{C0D36B26-92C8-4B8C-9857-97D985715343}" xr6:coauthVersionLast="47" xr6:coauthVersionMax="47" xr10:uidLastSave="{00000000-0000-0000-0000-000000000000}"/>
  <bookViews>
    <workbookView xWindow="-120" yWindow="-120" windowWidth="20730" windowHeight="11040" activeTab="1" xr2:uid="{D052BA4B-D821-4088-907B-C61E152A2B1E}"/>
  </bookViews>
  <sheets>
    <sheet name="Sheet1" sheetId="2" r:id="rId1"/>
    <sheet name="Scania+Metro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61" i="1"/>
  <c r="F2" i="2"/>
  <c r="F3" i="2"/>
  <c r="F4" i="2"/>
  <c r="F5" i="2"/>
  <c r="F6" i="2"/>
  <c r="F7" i="2"/>
  <c r="F8" i="2"/>
  <c r="G7" i="2"/>
  <c r="G8" i="2"/>
  <c r="D3" i="2"/>
  <c r="G3" i="2" s="1"/>
  <c r="D4" i="2"/>
  <c r="G4" i="2" s="1"/>
  <c r="D5" i="2"/>
  <c r="G5" i="2" s="1"/>
  <c r="D6" i="2"/>
  <c r="G6" i="2" s="1"/>
  <c r="D7" i="2"/>
  <c r="D8" i="2"/>
  <c r="D2" i="2"/>
  <c r="G2" i="2" s="1"/>
  <c r="D67" i="1"/>
  <c r="D73" i="1" s="1"/>
  <c r="J61" i="1"/>
  <c r="H68" i="1"/>
  <c r="G60" i="1"/>
  <c r="G62" i="1" s="1"/>
  <c r="G66" i="1"/>
  <c r="S53" i="1"/>
  <c r="W53" i="1" s="1"/>
  <c r="AA53" i="1" s="1"/>
  <c r="AE53" i="1" s="1"/>
  <c r="Q32" i="1"/>
  <c r="S32" i="1" s="1"/>
  <c r="U32" i="1" s="1"/>
  <c r="W32" i="1" s="1"/>
  <c r="Y32" i="1" s="1"/>
  <c r="P32" i="1"/>
  <c r="Q31" i="1"/>
  <c r="R31" i="1" s="1"/>
  <c r="P31" i="1"/>
  <c r="Q30" i="1"/>
  <c r="S30" i="1" s="1"/>
  <c r="P30" i="1"/>
  <c r="Q27" i="1"/>
  <c r="S27" i="1" s="1"/>
  <c r="U27" i="1" s="1"/>
  <c r="W27" i="1" s="1"/>
  <c r="Y27" i="1" s="1"/>
  <c r="P27" i="1"/>
  <c r="Q26" i="1"/>
  <c r="S26" i="1" s="1"/>
  <c r="U26" i="1" s="1"/>
  <c r="W26" i="1" s="1"/>
  <c r="Y26" i="1" s="1"/>
  <c r="P26" i="1"/>
  <c r="Q25" i="1"/>
  <c r="S25" i="1" s="1"/>
  <c r="U25" i="1" s="1"/>
  <c r="W25" i="1" s="1"/>
  <c r="Y25" i="1" s="1"/>
  <c r="P25" i="1"/>
  <c r="Q24" i="1"/>
  <c r="S24" i="1" s="1"/>
  <c r="U24" i="1" s="1"/>
  <c r="W24" i="1" s="1"/>
  <c r="Y24" i="1" s="1"/>
  <c r="P24" i="1"/>
  <c r="Q23" i="1"/>
  <c r="R23" i="1" s="1"/>
  <c r="P23" i="1"/>
  <c r="Q22" i="1"/>
  <c r="S22" i="1" s="1"/>
  <c r="U22" i="1" s="1"/>
  <c r="W22" i="1" s="1"/>
  <c r="Y22" i="1" s="1"/>
  <c r="AA22" i="1" s="1"/>
  <c r="P22" i="1"/>
  <c r="G96" i="1"/>
  <c r="G90" i="1"/>
  <c r="G84" i="1"/>
  <c r="G78" i="1"/>
  <c r="G72" i="1"/>
  <c r="S51" i="1"/>
  <c r="S52" i="1" s="1"/>
  <c r="P46" i="1"/>
  <c r="P39" i="1"/>
  <c r="Q39" i="1" s="1"/>
  <c r="S39" i="1" s="1"/>
  <c r="U39" i="1" s="1"/>
  <c r="W39" i="1" s="1"/>
  <c r="Y39" i="1" s="1"/>
  <c r="AA39" i="1" s="1"/>
  <c r="L38" i="1"/>
  <c r="N38" i="1" s="1"/>
  <c r="F40" i="1" s="1"/>
  <c r="P40" i="1" s="1"/>
  <c r="Q40" i="1" s="1"/>
  <c r="S40" i="1" s="1"/>
  <c r="H33" i="1"/>
  <c r="E28" i="1"/>
  <c r="F28" i="1" s="1"/>
  <c r="Q28" i="1" s="1"/>
  <c r="S28" i="1" s="1"/>
  <c r="U28" i="1" s="1"/>
  <c r="W28" i="1" s="1"/>
  <c r="Y28" i="1" s="1"/>
  <c r="E21" i="1"/>
  <c r="F21" i="1" s="1"/>
  <c r="F20" i="1"/>
  <c r="P20" i="1" s="1"/>
  <c r="D6" i="1"/>
  <c r="D8" i="1" s="1"/>
  <c r="H30" i="1" s="1"/>
  <c r="F9" i="2" l="1"/>
  <c r="U40" i="1"/>
  <c r="W40" i="1" s="1"/>
  <c r="Y40" i="1" s="1"/>
  <c r="AA40" i="1" s="1"/>
  <c r="D79" i="1"/>
  <c r="D85" i="1" s="1"/>
  <c r="D91" i="1" s="1"/>
  <c r="G73" i="1"/>
  <c r="G74" i="1" s="1"/>
  <c r="G67" i="1"/>
  <c r="F38" i="1"/>
  <c r="R24" i="1"/>
  <c r="R22" i="1"/>
  <c r="H23" i="1"/>
  <c r="P28" i="1"/>
  <c r="Z27" i="1"/>
  <c r="AA27" i="1"/>
  <c r="AB27" i="1" s="1"/>
  <c r="Z32" i="1"/>
  <c r="AA32" i="1"/>
  <c r="AB32" i="1" s="1"/>
  <c r="Z25" i="1"/>
  <c r="AA25" i="1"/>
  <c r="AB25" i="1" s="1"/>
  <c r="AA24" i="1"/>
  <c r="AB24" i="1" s="1"/>
  <c r="Z24" i="1"/>
  <c r="Z28" i="1"/>
  <c r="AA28" i="1"/>
  <c r="AB28" i="1" s="1"/>
  <c r="Z26" i="1"/>
  <c r="AA26" i="1"/>
  <c r="AB26" i="1" s="1"/>
  <c r="U30" i="1"/>
  <c r="W30" i="1" s="1"/>
  <c r="Y30" i="1" s="1"/>
  <c r="T30" i="1"/>
  <c r="S23" i="1"/>
  <c r="U23" i="1" s="1"/>
  <c r="W23" i="1" s="1"/>
  <c r="Y23" i="1" s="1"/>
  <c r="S31" i="1"/>
  <c r="U31" i="1" s="1"/>
  <c r="W31" i="1" s="1"/>
  <c r="Y31" i="1" s="1"/>
  <c r="Q20" i="1"/>
  <c r="R20" i="1" s="1"/>
  <c r="S20" i="1" s="1"/>
  <c r="T20" i="1" s="1"/>
  <c r="U20" i="1" s="1"/>
  <c r="X26" i="1"/>
  <c r="V26" i="1"/>
  <c r="P21" i="1"/>
  <c r="Q21" i="1"/>
  <c r="R21" i="1" s="1"/>
  <c r="H21" i="1"/>
  <c r="H28" i="1"/>
  <c r="T27" i="1"/>
  <c r="H32" i="1"/>
  <c r="H25" i="1"/>
  <c r="H31" i="1"/>
  <c r="H24" i="1"/>
  <c r="F33" i="1"/>
  <c r="H26" i="1"/>
  <c r="H39" i="1"/>
  <c r="H22" i="1"/>
  <c r="P33" i="1"/>
  <c r="F29" i="1"/>
  <c r="H27" i="1"/>
  <c r="J67" i="1"/>
  <c r="C57" i="1"/>
  <c r="C56" i="1"/>
  <c r="T26" i="1"/>
  <c r="T25" i="1"/>
  <c r="H40" i="1"/>
  <c r="W51" i="1"/>
  <c r="X24" i="1"/>
  <c r="V24" i="1"/>
  <c r="T32" i="1"/>
  <c r="T24" i="1"/>
  <c r="R39" i="1"/>
  <c r="R27" i="1"/>
  <c r="T22" i="1"/>
  <c r="J60" i="1"/>
  <c r="J62" i="1" s="1"/>
  <c r="R30" i="1"/>
  <c r="R25" i="1"/>
  <c r="R32" i="1"/>
  <c r="H20" i="1"/>
  <c r="R26" i="1"/>
  <c r="P38" i="1" l="1"/>
  <c r="Q38" i="1" s="1"/>
  <c r="J68" i="1"/>
  <c r="J69" i="1" s="1"/>
  <c r="G68" i="1"/>
  <c r="G91" i="1"/>
  <c r="G92" i="1" s="1"/>
  <c r="D97" i="1"/>
  <c r="G97" i="1" s="1"/>
  <c r="G98" i="1" s="1"/>
  <c r="E52" i="1"/>
  <c r="H38" i="1"/>
  <c r="H42" i="1" s="1"/>
  <c r="AB33" i="1"/>
  <c r="Z33" i="1"/>
  <c r="F35" i="1"/>
  <c r="F42" i="1" s="1"/>
  <c r="Q29" i="1"/>
  <c r="S29" i="1" s="1"/>
  <c r="U29" i="1" s="1"/>
  <c r="W29" i="1" s="1"/>
  <c r="Y29" i="1" s="1"/>
  <c r="P29" i="1"/>
  <c r="P42" i="1" s="1"/>
  <c r="T31" i="1"/>
  <c r="G79" i="1"/>
  <c r="G80" i="1" s="1"/>
  <c r="Z31" i="1"/>
  <c r="AA31" i="1"/>
  <c r="AB31" i="1" s="1"/>
  <c r="Z30" i="1"/>
  <c r="AA30" i="1"/>
  <c r="AB30" i="1" s="1"/>
  <c r="AA23" i="1"/>
  <c r="AB23" i="1" s="1"/>
  <c r="Z23" i="1"/>
  <c r="AA51" i="1"/>
  <c r="W52" i="1"/>
  <c r="V22" i="1"/>
  <c r="T39" i="1"/>
  <c r="R28" i="1"/>
  <c r="T23" i="1"/>
  <c r="V20" i="1"/>
  <c r="R40" i="1"/>
  <c r="X30" i="1"/>
  <c r="V30" i="1"/>
  <c r="V31" i="1"/>
  <c r="X31" i="1"/>
  <c r="S21" i="1"/>
  <c r="V32" i="1"/>
  <c r="X32" i="1"/>
  <c r="V25" i="1"/>
  <c r="X25" i="1"/>
  <c r="X33" i="1"/>
  <c r="Q33" i="1"/>
  <c r="R33" i="1" s="1"/>
  <c r="V33" i="1"/>
  <c r="T33" i="1"/>
  <c r="X27" i="1"/>
  <c r="V27" i="1"/>
  <c r="H29" i="1"/>
  <c r="H35" i="1" s="1"/>
  <c r="S38" i="1" l="1"/>
  <c r="R38" i="1"/>
  <c r="H44" i="1"/>
  <c r="I38" i="1" s="1"/>
  <c r="AA29" i="1"/>
  <c r="AB29" i="1" s="1"/>
  <c r="Z29" i="1"/>
  <c r="Q42" i="1"/>
  <c r="H67" i="1" s="1"/>
  <c r="H69" i="1" s="1"/>
  <c r="G69" i="1" s="1"/>
  <c r="G85" i="1"/>
  <c r="G86" i="1" s="1"/>
  <c r="X22" i="1"/>
  <c r="I40" i="1"/>
  <c r="V39" i="1"/>
  <c r="E51" i="1"/>
  <c r="E53" i="1" s="1"/>
  <c r="H45" i="1"/>
  <c r="H47" i="1" s="1"/>
  <c r="D15" i="1" s="1"/>
  <c r="I32" i="1"/>
  <c r="T40" i="1"/>
  <c r="T21" i="1"/>
  <c r="R29" i="1"/>
  <c r="R42" i="1" s="1"/>
  <c r="I29" i="1"/>
  <c r="AA52" i="1"/>
  <c r="AE51" i="1"/>
  <c r="AE52" i="1" s="1"/>
  <c r="V23" i="1"/>
  <c r="X23" i="1"/>
  <c r="W20" i="1"/>
  <c r="I39" i="1"/>
  <c r="I22" i="1"/>
  <c r="T28" i="1"/>
  <c r="U38" i="1" l="1"/>
  <c r="T38" i="1"/>
  <c r="I28" i="1"/>
  <c r="I33" i="1"/>
  <c r="I30" i="1"/>
  <c r="I31" i="1"/>
  <c r="I25" i="1"/>
  <c r="I23" i="1"/>
  <c r="S42" i="1"/>
  <c r="I24" i="1"/>
  <c r="H60" i="1"/>
  <c r="H62" i="1" s="1"/>
  <c r="G63" i="1" s="1"/>
  <c r="I27" i="1"/>
  <c r="I21" i="1"/>
  <c r="I26" i="1"/>
  <c r="S43" i="1"/>
  <c r="I20" i="1"/>
  <c r="I44" i="1" s="1"/>
  <c r="X39" i="1"/>
  <c r="Z22" i="1"/>
  <c r="X20" i="1"/>
  <c r="Y20" i="1" s="1"/>
  <c r="Z20" i="1" s="1"/>
  <c r="AA20" i="1" s="1"/>
  <c r="AB20" i="1" s="1"/>
  <c r="H73" i="1"/>
  <c r="H75" i="1" s="1"/>
  <c r="G75" i="1" s="1"/>
  <c r="U21" i="1"/>
  <c r="V40" i="1"/>
  <c r="T29" i="1"/>
  <c r="T42" i="1" s="1"/>
  <c r="X28" i="1"/>
  <c r="V28" i="1"/>
  <c r="W38" i="1" l="1"/>
  <c r="V38" i="1"/>
  <c r="T43" i="1"/>
  <c r="AB22" i="1"/>
  <c r="X40" i="1"/>
  <c r="Z39" i="1"/>
  <c r="AB39" i="1"/>
  <c r="V21" i="1"/>
  <c r="U42" i="1"/>
  <c r="X29" i="1"/>
  <c r="V29" i="1"/>
  <c r="Y38" i="1" l="1"/>
  <c r="X38" i="1"/>
  <c r="U43" i="1"/>
  <c r="Z40" i="1"/>
  <c r="H79" i="1"/>
  <c r="H81" i="1" s="1"/>
  <c r="G81" i="1" s="1"/>
  <c r="W21" i="1"/>
  <c r="V42" i="1"/>
  <c r="AA38" i="1" l="1"/>
  <c r="AB38" i="1" s="1"/>
  <c r="Z38" i="1"/>
  <c r="V43" i="1"/>
  <c r="AB40" i="1"/>
  <c r="X21" i="1"/>
  <c r="W42" i="1"/>
  <c r="W43" i="1" l="1"/>
  <c r="X42" i="1"/>
  <c r="Y21" i="1"/>
  <c r="H85" i="1"/>
  <c r="H87" i="1" s="1"/>
  <c r="G87" i="1" s="1"/>
  <c r="X43" i="1" l="1"/>
  <c r="Z21" i="1"/>
  <c r="Y42" i="1"/>
  <c r="Y43" i="1" l="1"/>
  <c r="H91" i="1"/>
  <c r="H93" i="1" s="1"/>
  <c r="G93" i="1" s="1"/>
  <c r="AA21" i="1"/>
  <c r="Z42" i="1"/>
  <c r="Z43" i="1" s="1"/>
  <c r="AB21" i="1" l="1"/>
  <c r="AB42" i="1" s="1"/>
  <c r="AA42" i="1"/>
  <c r="AA43" i="1" s="1"/>
  <c r="H97" i="1" l="1"/>
  <c r="H99" i="1" s="1"/>
  <c r="G99" i="1" s="1"/>
</calcChain>
</file>

<file path=xl/sharedStrings.xml><?xml version="1.0" encoding="utf-8"?>
<sst xmlns="http://schemas.openxmlformats.org/spreadsheetml/2006/main" count="197" uniqueCount="89">
  <si>
    <t>Truck 1 / Trailer 1</t>
  </si>
  <si>
    <t>MAKATU FINANCIAL FORECAST</t>
  </si>
  <si>
    <t>Diesel price</t>
  </si>
  <si>
    <t>SCANIA+METRO 6</t>
  </si>
  <si>
    <t>VARIABLE</t>
  </si>
  <si>
    <t>VALUE</t>
  </si>
  <si>
    <t xml:space="preserve"> </t>
  </si>
  <si>
    <t>Weeks/month</t>
  </si>
  <si>
    <t>Jan '21</t>
  </si>
  <si>
    <t>Ranger shuttles from Silverton to Kaalfontein + 1 Mahindra</t>
  </si>
  <si>
    <t>Days</t>
  </si>
  <si>
    <t>Trips per 6-day week (round trip)</t>
  </si>
  <si>
    <t>Distance (one way)</t>
  </si>
  <si>
    <t xml:space="preserve">  </t>
  </si>
  <si>
    <t>Distance (round trip)</t>
  </si>
  <si>
    <t>Round trip</t>
  </si>
  <si>
    <t>hrs</t>
  </si>
  <si>
    <t>5-day week</t>
  </si>
  <si>
    <t>Monthly Target Distance</t>
  </si>
  <si>
    <t>Round trips/week</t>
  </si>
  <si>
    <t>Carrier fuel consumption km/L</t>
  </si>
  <si>
    <t>Carrier Slots</t>
  </si>
  <si>
    <t>Fuel Price</t>
  </si>
  <si>
    <t>Fuel = June 23  - R22,30</t>
  </si>
  <si>
    <t>Current Rate (R/km)</t>
  </si>
  <si>
    <t>Incl Mark up</t>
  </si>
  <si>
    <t>CARRIER OPERATING COSTS</t>
  </si>
  <si>
    <t>ANNUAL COST</t>
  </si>
  <si>
    <t>MONTHLY COST</t>
  </si>
  <si>
    <t>WEEKLY COST</t>
  </si>
  <si>
    <t>COST R / KM</t>
  </si>
  <si>
    <t>Weight</t>
  </si>
  <si>
    <t>Depreciation - Purchase price (Horse)</t>
  </si>
  <si>
    <t>Depreciation = straight line method over 5 years</t>
  </si>
  <si>
    <t>Interest</t>
  </si>
  <si>
    <t>Driver Wages</t>
  </si>
  <si>
    <t>Wage = All inclusive on incentive basis</t>
  </si>
  <si>
    <t xml:space="preserve">Driver Subs &amp; Meals </t>
  </si>
  <si>
    <t>Drivers Levies</t>
  </si>
  <si>
    <t>PPE</t>
  </si>
  <si>
    <t xml:space="preserve">Training </t>
  </si>
  <si>
    <t>Licence</t>
  </si>
  <si>
    <t>Insurance</t>
  </si>
  <si>
    <t>Tyres &amp; lubes</t>
  </si>
  <si>
    <t>per km</t>
  </si>
  <si>
    <t>Refer Renault Blizzard Medium distance</t>
  </si>
  <si>
    <t>Tracking</t>
  </si>
  <si>
    <t>Repair &amp; Maintenance</t>
  </si>
  <si>
    <t>Lashing Equipment</t>
  </si>
  <si>
    <t>Fuel</t>
  </si>
  <si>
    <t>TO</t>
  </si>
  <si>
    <t>SUB TOTAL</t>
  </si>
  <si>
    <t>MISCELLANEOUS</t>
  </si>
  <si>
    <t>PER SLOT</t>
  </si>
  <si>
    <t>Slots</t>
  </si>
  <si>
    <t>Round Trip</t>
  </si>
  <si>
    <t>Weeks</t>
  </si>
  <si>
    <t>Units per month</t>
  </si>
  <si>
    <t xml:space="preserve">Fixed Overheads </t>
  </si>
  <si>
    <t>GIT Insurance</t>
  </si>
  <si>
    <t>Claims Provision &amp; Excess</t>
  </si>
  <si>
    <t>Total CPK</t>
  </si>
  <si>
    <t>Mark up</t>
  </si>
  <si>
    <t>Total CPK including mark up</t>
  </si>
  <si>
    <t>PROFIT / SHORTFALL (-) / YEAR</t>
  </si>
  <si>
    <t>Driver Subs &amp; Meals</t>
  </si>
  <si>
    <t>Target Revenue per KM</t>
  </si>
  <si>
    <t>Clock out after 19h00</t>
  </si>
  <si>
    <t>Actual Revenue per KM</t>
  </si>
  <si>
    <t>Clock out after 23h00</t>
  </si>
  <si>
    <t>Profit / Shortfall per KM</t>
  </si>
  <si>
    <t>Full Night out (FNO)</t>
  </si>
  <si>
    <t>Fixed overheads</t>
  </si>
  <si>
    <t>Claims provision</t>
  </si>
  <si>
    <t>Income :</t>
  </si>
  <si>
    <t>Price per slot</t>
  </si>
  <si>
    <t>1-way trips per week</t>
  </si>
  <si>
    <t>Monthly income</t>
  </si>
  <si>
    <t>Cost Per Month</t>
  </si>
  <si>
    <t>Units per Month</t>
  </si>
  <si>
    <t>PROFIT</t>
  </si>
  <si>
    <t>BMW 1200</t>
  </si>
  <si>
    <t>Shuttle + Mahindra</t>
  </si>
  <si>
    <t>Carrier Profit</t>
  </si>
  <si>
    <t>Count</t>
  </si>
  <si>
    <t>Montly Cost</t>
  </si>
  <si>
    <t>Monthly Revenue</t>
  </si>
  <si>
    <t>Total Profit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</si>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</sst>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0.0"/>
    <numFmt numFmtId="165" formatCode="[$R-1C09]#,##0.000"/>
    <numFmt numFmtId="166" formatCode="[$R-1C09]#,##0.00"/>
    <numFmt numFmtId="167" formatCode="0.0%"/>
    <numFmt numFmtId="168" formatCode="&quot;$&quot;#,##0.00"/>
    <numFmt numFmtId="169" formatCode="[$$-409]#,##0.00"/>
    <numFmt numFmtId="170" formatCode="&quot;R&quot;\ #,##0.00"/>
    <numFmt numFmtId="171" formatCode="&quot;R&quot;#,##0.00"/>
    <numFmt numFmtId="172" formatCode="[$R-1C09]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1D60"/>
        <bgColor indexed="64"/>
      </patternFill>
    </fill>
    <fill>
      <patternFill patternType="solid">
        <fgColor rgb="FF311D60"/>
        <bgColor indexed="64"/>
      </patternFill>
    </fill>
  </fills>
  <borders count="6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17" fontId="6" fillId="0" borderId="0" xfId="0" applyNumberFormat="1" applyFont="1" applyAlignment="1">
      <alignment horizontal="center"/>
    </xf>
    <xf numFmtId="0" fontId="5" fillId="0" borderId="5" xfId="0" applyFont="1" applyBorder="1"/>
    <xf numFmtId="0" fontId="5" fillId="0" borderId="7" xfId="0" applyFont="1" applyBorder="1"/>
    <xf numFmtId="0" fontId="2" fillId="0" borderId="8" xfId="0" applyFont="1" applyBorder="1"/>
    <xf numFmtId="2" fontId="0" fillId="0" borderId="8" xfId="0" applyNumberFormat="1" applyBorder="1" applyAlignment="1">
      <alignment horizontal="center"/>
    </xf>
    <xf numFmtId="0" fontId="5" fillId="0" borderId="0" xfId="0" applyFont="1"/>
    <xf numFmtId="0" fontId="5" fillId="0" borderId="11" xfId="0" applyFont="1" applyBorder="1"/>
    <xf numFmtId="0" fontId="5" fillId="0" borderId="13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9" fontId="5" fillId="2" borderId="30" xfId="1" applyFont="1" applyFill="1" applyBorder="1" applyAlignment="1">
      <alignment horizontal="center"/>
    </xf>
    <xf numFmtId="9" fontId="5" fillId="2" borderId="36" xfId="1" applyFont="1" applyFill="1" applyBorder="1" applyAlignment="1">
      <alignment horizontal="center"/>
    </xf>
    <xf numFmtId="9" fontId="5" fillId="2" borderId="37" xfId="1" applyFont="1" applyFill="1" applyBorder="1" applyAlignment="1">
      <alignment horizontal="center"/>
    </xf>
    <xf numFmtId="9" fontId="5" fillId="2" borderId="38" xfId="1" applyFont="1" applyFill="1" applyBorder="1" applyAlignment="1">
      <alignment horizontal="center"/>
    </xf>
    <xf numFmtId="166" fontId="5" fillId="0" borderId="8" xfId="0" applyNumberFormat="1" applyFont="1" applyBorder="1" applyAlignment="1">
      <alignment horizontal="center"/>
    </xf>
    <xf numFmtId="166" fontId="5" fillId="0" borderId="39" xfId="0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166" fontId="0" fillId="0" borderId="39" xfId="0" applyNumberFormat="1" applyBorder="1"/>
    <xf numFmtId="166" fontId="0" fillId="0" borderId="40" xfId="0" applyNumberFormat="1" applyBorder="1"/>
    <xf numFmtId="166" fontId="0" fillId="0" borderId="41" xfId="0" applyNumberFormat="1" applyBorder="1"/>
    <xf numFmtId="166" fontId="0" fillId="0" borderId="22" xfId="0" applyNumberFormat="1" applyBorder="1"/>
    <xf numFmtId="168" fontId="5" fillId="0" borderId="8" xfId="0" applyNumberFormat="1" applyFont="1" applyBorder="1" applyAlignment="1">
      <alignment horizontal="center"/>
    </xf>
    <xf numFmtId="9" fontId="0" fillId="0" borderId="0" xfId="1" applyFont="1" applyFill="1"/>
    <xf numFmtId="169" fontId="5" fillId="0" borderId="8" xfId="0" applyNumberFormat="1" applyFont="1" applyBorder="1" applyAlignment="1">
      <alignment horizontal="center"/>
    </xf>
    <xf numFmtId="167" fontId="0" fillId="0" borderId="0" xfId="1" applyNumberFormat="1" applyFont="1" applyFill="1"/>
    <xf numFmtId="170" fontId="5" fillId="0" borderId="8" xfId="1" applyNumberFormat="1" applyFont="1" applyBorder="1" applyAlignment="1">
      <alignment horizontal="center"/>
    </xf>
    <xf numFmtId="171" fontId="0" fillId="0" borderId="0" xfId="1" applyNumberFormat="1" applyFont="1" applyFill="1"/>
    <xf numFmtId="166" fontId="5" fillId="0" borderId="43" xfId="0" applyNumberFormat="1" applyFont="1" applyBorder="1" applyAlignment="1">
      <alignment horizontal="center"/>
    </xf>
    <xf numFmtId="166" fontId="5" fillId="0" borderId="26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22" xfId="0" applyBorder="1"/>
    <xf numFmtId="166" fontId="6" fillId="0" borderId="8" xfId="0" applyNumberFormat="1" applyFont="1" applyBorder="1" applyAlignment="1">
      <alignment horizontal="center"/>
    </xf>
    <xf numFmtId="166" fontId="6" fillId="2" borderId="17" xfId="0" applyNumberFormat="1" applyFont="1" applyFill="1" applyBorder="1" applyAlignment="1">
      <alignment horizontal="center"/>
    </xf>
    <xf numFmtId="166" fontId="5" fillId="0" borderId="44" xfId="0" applyNumberFormat="1" applyFont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9" fontId="0" fillId="0" borderId="0" xfId="0" applyNumberFormat="1"/>
    <xf numFmtId="1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0" xfId="0" applyNumberFormat="1"/>
    <xf numFmtId="166" fontId="2" fillId="0" borderId="39" xfId="0" applyNumberFormat="1" applyFont="1" applyBorder="1"/>
    <xf numFmtId="166" fontId="2" fillId="0" borderId="46" xfId="0" applyNumberFormat="1" applyFont="1" applyBorder="1"/>
    <xf numFmtId="166" fontId="2" fillId="0" borderId="47" xfId="0" applyNumberFormat="1" applyFont="1" applyBorder="1"/>
    <xf numFmtId="166" fontId="2" fillId="0" borderId="48" xfId="0" applyNumberFormat="1" applyFont="1" applyBorder="1"/>
    <xf numFmtId="166" fontId="2" fillId="0" borderId="49" xfId="0" applyNumberFormat="1" applyFont="1" applyBorder="1"/>
    <xf numFmtId="166" fontId="2" fillId="0" borderId="50" xfId="0" applyNumberFormat="1" applyFont="1" applyBorder="1"/>
    <xf numFmtId="0" fontId="0" fillId="0" borderId="0" xfId="0" applyAlignment="1">
      <alignment horizontal="center"/>
    </xf>
    <xf numFmtId="172" fontId="5" fillId="2" borderId="51" xfId="0" applyNumberFormat="1" applyFont="1" applyFill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6" fillId="0" borderId="8" xfId="1" applyFont="1" applyBorder="1" applyAlignment="1">
      <alignment horizontal="center"/>
    </xf>
    <xf numFmtId="166" fontId="6" fillId="2" borderId="26" xfId="0" applyNumberFormat="1" applyFont="1" applyFill="1" applyBorder="1" applyAlignment="1">
      <alignment horizontal="center"/>
    </xf>
    <xf numFmtId="166" fontId="6" fillId="0" borderId="53" xfId="0" applyNumberFormat="1" applyFont="1" applyBorder="1" applyAlignment="1">
      <alignment horizontal="center"/>
    </xf>
    <xf numFmtId="166" fontId="6" fillId="2" borderId="55" xfId="0" applyNumberFormat="1" applyFont="1" applyFill="1" applyBorder="1" applyAlignment="1">
      <alignment horizontal="center"/>
    </xf>
    <xf numFmtId="9" fontId="0" fillId="0" borderId="0" xfId="1" applyFont="1"/>
    <xf numFmtId="166" fontId="5" fillId="0" borderId="44" xfId="0" applyNumberFormat="1" applyFont="1" applyBorder="1"/>
    <xf numFmtId="166" fontId="5" fillId="0" borderId="53" xfId="0" applyNumberFormat="1" applyFont="1" applyBorder="1"/>
    <xf numFmtId="0" fontId="0" fillId="0" borderId="7" xfId="0" applyBorder="1"/>
    <xf numFmtId="0" fontId="5" fillId="0" borderId="40" xfId="0" applyFont="1" applyBorder="1"/>
    <xf numFmtId="0" fontId="0" fillId="0" borderId="8" xfId="0" applyBorder="1"/>
    <xf numFmtId="170" fontId="0" fillId="0" borderId="41" xfId="0" applyNumberFormat="1" applyBorder="1"/>
    <xf numFmtId="0" fontId="5" fillId="0" borderId="50" xfId="0" applyFont="1" applyBorder="1"/>
    <xf numFmtId="0" fontId="0" fillId="0" borderId="60" xfId="0" applyBorder="1"/>
    <xf numFmtId="170" fontId="0" fillId="0" borderId="49" xfId="0" applyNumberFormat="1" applyBorder="1"/>
    <xf numFmtId="166" fontId="0" fillId="0" borderId="0" xfId="0" applyNumberFormat="1"/>
    <xf numFmtId="0" fontId="0" fillId="3" borderId="8" xfId="0" applyFill="1" applyBorder="1" applyAlignment="1">
      <alignment horizontal="center" wrapText="1"/>
    </xf>
    <xf numFmtId="171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4" borderId="0" xfId="0" applyFill="1"/>
    <xf numFmtId="166" fontId="0" fillId="4" borderId="8" xfId="0" applyNumberFormat="1" applyFill="1" applyBorder="1" applyAlignment="1">
      <alignment horizontal="center"/>
    </xf>
    <xf numFmtId="0" fontId="7" fillId="5" borderId="0" xfId="0" applyFont="1" applyFill="1"/>
    <xf numFmtId="0" fontId="5" fillId="0" borderId="22" xfId="0" applyFont="1" applyBorder="1" applyAlignment="1">
      <alignment horizontal="left"/>
    </xf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166" fontId="6" fillId="0" borderId="39" xfId="0" applyNumberFormat="1" applyFont="1" applyBorder="1" applyAlignment="1">
      <alignment horizontal="center"/>
    </xf>
    <xf numFmtId="166" fontId="6" fillId="0" borderId="59" xfId="0" applyNumberFormat="1" applyFont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166" fontId="6" fillId="0" borderId="61" xfId="0" applyNumberFormat="1" applyFont="1" applyBorder="1"/>
    <xf numFmtId="166" fontId="6" fillId="0" borderId="62" xfId="0" applyNumberFormat="1" applyFont="1" applyBorder="1"/>
    <xf numFmtId="0" fontId="6" fillId="0" borderId="36" xfId="0" applyFont="1" applyBorder="1" applyAlignment="1">
      <alignment horizontal="left"/>
    </xf>
    <xf numFmtId="0" fontId="6" fillId="0" borderId="58" xfId="0" applyFont="1" applyBorder="1" applyAlignment="1">
      <alignment horizontal="left"/>
    </xf>
    <xf numFmtId="0" fontId="5" fillId="2" borderId="30" xfId="0" applyFont="1" applyFill="1" applyBorder="1"/>
    <xf numFmtId="0" fontId="5" fillId="2" borderId="31" xfId="0" applyFont="1" applyFill="1" applyBorder="1"/>
    <xf numFmtId="0" fontId="5" fillId="2" borderId="32" xfId="0" applyFont="1" applyFill="1" applyBorder="1"/>
    <xf numFmtId="0" fontId="5" fillId="2" borderId="56" xfId="0" applyFont="1" applyFill="1" applyBorder="1"/>
    <xf numFmtId="0" fontId="5" fillId="2" borderId="57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6" fillId="2" borderId="16" xfId="0" applyFont="1" applyFill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0" fillId="5" borderId="0" xfId="0" applyFill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6" xfId="0" applyFont="1" applyBorder="1" applyAlignment="1"/>
    <xf numFmtId="0" fontId="5" fillId="0" borderId="12" xfId="0" applyFont="1" applyBorder="1" applyAlignment="1"/>
    <xf numFmtId="0" fontId="5" fillId="0" borderId="0" xfId="0" applyFont="1" applyAlignment="1"/>
    <xf numFmtId="166" fontId="7" fillId="5" borderId="0" xfId="0" applyNumberFormat="1" applyFont="1" applyFill="1" applyAlignment="1"/>
    <xf numFmtId="0" fontId="5" fillId="2" borderId="33" xfId="0" applyFont="1" applyFill="1" applyBorder="1" applyAlignment="1"/>
    <xf numFmtId="166" fontId="5" fillId="0" borderId="8" xfId="0" applyNumberFormat="1" applyFont="1" applyBorder="1" applyAlignment="1"/>
    <xf numFmtId="166" fontId="5" fillId="0" borderId="42" xfId="0" applyNumberFormat="1" applyFont="1" applyBorder="1" applyAlignment="1"/>
    <xf numFmtId="166" fontId="6" fillId="0" borderId="8" xfId="0" applyNumberFormat="1" applyFont="1" applyBorder="1" applyAlignment="1"/>
    <xf numFmtId="166" fontId="5" fillId="0" borderId="44" xfId="0" applyNumberFormat="1" applyFont="1" applyBorder="1" applyAlignment="1"/>
    <xf numFmtId="0" fontId="5" fillId="2" borderId="45" xfId="0" applyFont="1" applyFill="1" applyBorder="1" applyAlignment="1"/>
    <xf numFmtId="168" fontId="5" fillId="0" borderId="8" xfId="0" applyNumberFormat="1" applyFont="1" applyBorder="1" applyAlignment="1"/>
    <xf numFmtId="166" fontId="6" fillId="0" borderId="52" xfId="0" applyNumberFormat="1" applyFont="1" applyBorder="1" applyAlignment="1"/>
    <xf numFmtId="166" fontId="6" fillId="2" borderId="54" xfId="0" applyNumberFormat="1" applyFont="1" applyFill="1" applyBorder="1" applyAlignment="1"/>
    <xf numFmtId="166" fontId="5" fillId="0" borderId="52" xfId="0" applyNumberFormat="1" applyFont="1" applyBorder="1" applyAlignment="1"/>
    <xf numFmtId="0" fontId="0" fillId="0" borderId="0" xfId="0" applyAlignment="1"/>
    <xf numFmtId="0" fontId="0" fillId="3" borderId="8" xfId="0" applyFill="1" applyBorder="1" applyAlignment="1">
      <alignment wrapText="1"/>
    </xf>
    <xf numFmtId="171" fontId="0" fillId="0" borderId="8" xfId="0" applyNumberFormat="1" applyBorder="1" applyAlignment="1"/>
    <xf numFmtId="171" fontId="0" fillId="0" borderId="0" xfId="0" applyNumberFormat="1" applyAlignment="1"/>
    <xf numFmtId="0" fontId="5" fillId="2" borderId="4" xfId="0" applyFont="1" applyFill="1" applyBorder="1" applyAlignment="1">
      <alignment horizontal="left"/>
    </xf>
    <xf numFmtId="0" fontId="5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1" fontId="5" fillId="0" borderId="17" xfId="0" applyNumberFormat="1" applyFont="1" applyBorder="1" applyAlignment="1">
      <alignment horizontal="left"/>
    </xf>
    <xf numFmtId="164" fontId="5" fillId="0" borderId="17" xfId="0" applyNumberFormat="1" applyFont="1" applyBorder="1" applyAlignment="1">
      <alignment horizontal="left"/>
    </xf>
    <xf numFmtId="165" fontId="7" fillId="5" borderId="10" xfId="0" applyNumberFormat="1" applyFont="1" applyFill="1" applyBorder="1" applyAlignment="1">
      <alignment horizontal="left"/>
    </xf>
    <xf numFmtId="166" fontId="5" fillId="0" borderId="10" xfId="0" applyNumberFormat="1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0" xfId="0" applyFont="1" applyAlignment="1">
      <alignment horizontal="left"/>
    </xf>
    <xf numFmtId="167" fontId="5" fillId="0" borderId="22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4" fontId="0" fillId="3" borderId="8" xfId="0" applyNumberFormat="1" applyFill="1" applyBorder="1" applyAlignment="1">
      <alignment horizontal="left" wrapText="1"/>
    </xf>
    <xf numFmtId="4" fontId="0" fillId="0" borderId="8" xfId="0" applyNumberFormat="1" applyBorder="1" applyAlignment="1">
      <alignment horizontal="left"/>
    </xf>
    <xf numFmtId="4" fontId="0" fillId="0" borderId="0" xfId="0" applyNumberFormat="1" applyAlignment="1">
      <alignment horizontal="left"/>
    </xf>
    <xf numFmtId="44" fontId="5" fillId="0" borderId="8" xfId="0" applyNumberFormat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7" fillId="6" borderId="8" xfId="0" applyFont="1" applyFill="1" applyBorder="1" applyAlignment="1">
      <alignment horizontal="center"/>
    </xf>
    <xf numFmtId="44" fontId="7" fillId="6" borderId="8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11D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6469-591E-453C-A28A-1B30AC1D12DE}">
  <dimension ref="A1:G9"/>
  <sheetViews>
    <sheetView workbookViewId="0">
      <selection activeCell="I16" sqref="I16"/>
    </sheetView>
  </sheetViews>
  <sheetFormatPr defaultRowHeight="15" x14ac:dyDescent="0.25"/>
  <cols>
    <col min="1" max="1" width="9.140625" style="63"/>
    <col min="2" max="2" width="13.140625" style="167" bestFit="1" customWidth="1"/>
    <col min="3" max="3" width="18.42578125" style="167" bestFit="1" customWidth="1"/>
    <col min="4" max="4" width="12.42578125" style="63" bestFit="1" customWidth="1"/>
    <col min="5" max="5" width="6.28515625" style="63" bestFit="1" customWidth="1"/>
    <col min="6" max="6" width="16.140625" style="63" bestFit="1" customWidth="1"/>
    <col min="7" max="7" width="15.140625" style="63" bestFit="1" customWidth="1"/>
  </cols>
  <sheetData>
    <row r="1" spans="1:7" x14ac:dyDescent="0.25">
      <c r="A1" s="168"/>
      <c r="B1" s="169" t="s">
        <v>85</v>
      </c>
      <c r="C1" s="169" t="s">
        <v>86</v>
      </c>
      <c r="D1" s="168" t="s">
        <v>83</v>
      </c>
      <c r="E1" s="168" t="s">
        <v>84</v>
      </c>
      <c r="F1" s="168" t="s">
        <v>88</v>
      </c>
      <c r="G1" s="168" t="s">
        <v>87</v>
      </c>
    </row>
    <row r="2" spans="1:7" x14ac:dyDescent="0.25">
      <c r="A2" s="55">
        <v>2024</v>
      </c>
      <c r="B2" s="165">
        <v>271289.83333333331</v>
      </c>
      <c r="C2" s="166">
        <v>316956</v>
      </c>
      <c r="D2" s="82">
        <f>C2-B2</f>
        <v>45666.166666666686</v>
      </c>
      <c r="E2" s="55">
        <v>4</v>
      </c>
      <c r="F2" s="166">
        <f>C2*E2*6</f>
        <v>7606944</v>
      </c>
      <c r="G2" s="82">
        <f>E2*D2*6</f>
        <v>1095988.0000000005</v>
      </c>
    </row>
    <row r="3" spans="1:7" x14ac:dyDescent="0.25">
      <c r="A3" s="55">
        <v>2025</v>
      </c>
      <c r="B3" s="166">
        <v>278992.40133333334</v>
      </c>
      <c r="C3" s="166">
        <v>320723.09999999998</v>
      </c>
      <c r="D3" s="82">
        <f t="shared" ref="D3:D8" si="0">C3-B3</f>
        <v>41730.698666666634</v>
      </c>
      <c r="E3" s="55">
        <v>4</v>
      </c>
      <c r="F3" s="166">
        <f>C3*E3*12</f>
        <v>15394708.799999999</v>
      </c>
      <c r="G3" s="82">
        <f t="shared" ref="G3:G8" si="1">E3*D3*12</f>
        <v>2003073.5359999985</v>
      </c>
    </row>
    <row r="4" spans="1:7" x14ac:dyDescent="0.25">
      <c r="A4" s="55">
        <v>2026</v>
      </c>
      <c r="B4" s="166">
        <v>284571.34405333333</v>
      </c>
      <c r="C4" s="166">
        <v>324678.55499999999</v>
      </c>
      <c r="D4" s="82">
        <f t="shared" si="0"/>
        <v>40107.210946666659</v>
      </c>
      <c r="E4" s="55">
        <v>4</v>
      </c>
      <c r="F4" s="166">
        <f>C4*E4*12</f>
        <v>15584570.640000001</v>
      </c>
      <c r="G4" s="82">
        <f t="shared" si="1"/>
        <v>1925146.1254399996</v>
      </c>
    </row>
    <row r="5" spans="1:7" x14ac:dyDescent="0.25">
      <c r="A5" s="55">
        <v>2027</v>
      </c>
      <c r="B5" s="166">
        <v>290373.44448213337</v>
      </c>
      <c r="C5" s="166">
        <v>328831.78275000001</v>
      </c>
      <c r="D5" s="82">
        <f t="shared" si="0"/>
        <v>38458.338267866638</v>
      </c>
      <c r="E5" s="55">
        <v>4</v>
      </c>
      <c r="F5" s="166">
        <f>C5*E5*12</f>
        <v>15783925.572000001</v>
      </c>
      <c r="G5" s="82">
        <f t="shared" si="1"/>
        <v>1846000.2368575986</v>
      </c>
    </row>
    <row r="6" spans="1:7" x14ac:dyDescent="0.25">
      <c r="A6" s="55">
        <v>2028</v>
      </c>
      <c r="B6" s="166">
        <v>296407.62892808532</v>
      </c>
      <c r="C6" s="166">
        <v>333192.67188750004</v>
      </c>
      <c r="D6" s="82">
        <f t="shared" si="0"/>
        <v>36785.042959414714</v>
      </c>
      <c r="E6" s="55">
        <v>4</v>
      </c>
      <c r="F6" s="166">
        <f>C6*E6*12</f>
        <v>15993248.250600003</v>
      </c>
      <c r="G6" s="82">
        <f t="shared" si="1"/>
        <v>1765682.0620519063</v>
      </c>
    </row>
    <row r="7" spans="1:7" x14ac:dyDescent="0.25">
      <c r="A7" s="55">
        <v>2029</v>
      </c>
      <c r="B7" s="166">
        <v>302683.18075187545</v>
      </c>
      <c r="C7" s="166">
        <v>337771.60548187501</v>
      </c>
      <c r="D7" s="82">
        <f t="shared" si="0"/>
        <v>35088.424729999562</v>
      </c>
      <c r="E7" s="55">
        <v>4</v>
      </c>
      <c r="F7" s="166">
        <f>C7*E7*12</f>
        <v>16213037.063130001</v>
      </c>
      <c r="G7" s="82">
        <f t="shared" si="1"/>
        <v>1684244.387039979</v>
      </c>
    </row>
    <row r="8" spans="1:7" x14ac:dyDescent="0.25">
      <c r="A8" s="55">
        <v>2030</v>
      </c>
      <c r="B8" s="166">
        <v>309209.75464861712</v>
      </c>
      <c r="C8" s="166">
        <v>342579.48575596878</v>
      </c>
      <c r="D8" s="82">
        <f t="shared" si="0"/>
        <v>33369.731107351661</v>
      </c>
      <c r="E8" s="55">
        <v>4</v>
      </c>
      <c r="F8" s="166">
        <f>C8*E8*12</f>
        <v>16443815.316286501</v>
      </c>
      <c r="G8" s="82">
        <f t="shared" si="1"/>
        <v>1601747.0931528797</v>
      </c>
    </row>
    <row r="9" spans="1:7" x14ac:dyDescent="0.25">
      <c r="A9" s="168"/>
      <c r="B9" s="169"/>
      <c r="C9" s="169"/>
      <c r="D9" s="168"/>
      <c r="E9" s="168"/>
      <c r="F9" s="169">
        <f>SUM(F2:F8)</f>
        <v>103020249.64201652</v>
      </c>
      <c r="G9" s="169">
        <f>SUM(G2:G8)</f>
        <v>11921881.440542363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05F2-EB1A-4055-B293-2764F4C5BC3F}">
  <dimension ref="A1:AE111"/>
  <sheetViews>
    <sheetView tabSelected="1" zoomScale="115" zoomScaleNormal="115" workbookViewId="0">
      <selection activeCell="I10" sqref="I10"/>
    </sheetView>
  </sheetViews>
  <sheetFormatPr defaultRowHeight="15" x14ac:dyDescent="0.25"/>
  <cols>
    <col min="2" max="2" width="13.28515625" customWidth="1"/>
    <col min="3" max="3" width="17.140625" customWidth="1"/>
    <col min="4" max="4" width="11.28515625" style="161" customWidth="1"/>
    <col min="5" max="5" width="15" bestFit="1" customWidth="1"/>
    <col min="6" max="6" width="14.140625" bestFit="1" customWidth="1"/>
    <col min="7" max="7" width="12.7109375" style="146" bestFit="1" customWidth="1"/>
    <col min="8" max="8" width="17.7109375" customWidth="1"/>
    <col min="9" max="9" width="9" customWidth="1"/>
    <col min="10" max="10" width="49.42578125" hidden="1" customWidth="1"/>
    <col min="11" max="13" width="9.140625" hidden="1" customWidth="1"/>
    <col min="14" max="14" width="12.28515625" hidden="1" customWidth="1"/>
    <col min="15" max="15" width="9.140625" hidden="1" customWidth="1"/>
    <col min="16" max="16" width="13.140625" hidden="1" customWidth="1"/>
    <col min="17" max="17" width="14" customWidth="1"/>
    <col min="18" max="18" width="13.140625" hidden="1" customWidth="1"/>
    <col min="19" max="19" width="12.42578125" bestFit="1" customWidth="1"/>
    <col min="20" max="20" width="12.85546875" hidden="1" customWidth="1"/>
    <col min="21" max="21" width="13.42578125" customWidth="1"/>
    <col min="22" max="22" width="13.42578125" hidden="1" customWidth="1"/>
    <col min="23" max="23" width="12.42578125" bestFit="1" customWidth="1"/>
    <col min="24" max="24" width="12.42578125" hidden="1" customWidth="1"/>
    <col min="25" max="25" width="13.28515625" customWidth="1"/>
    <col min="26" max="26" width="12.42578125" hidden="1" customWidth="1"/>
    <col min="27" max="27" width="12.42578125" bestFit="1" customWidth="1"/>
    <col min="28" max="28" width="12.42578125" hidden="1" customWidth="1"/>
  </cols>
  <sheetData>
    <row r="1" spans="1:24" ht="36.75" customHeight="1" thickBot="1" x14ac:dyDescent="0.45">
      <c r="A1" s="1" t="s">
        <v>0</v>
      </c>
      <c r="C1" s="170" t="s">
        <v>1</v>
      </c>
      <c r="D1" s="170"/>
      <c r="E1" s="170"/>
      <c r="F1" s="170"/>
      <c r="G1" s="170"/>
      <c r="H1" s="170"/>
      <c r="I1" s="170"/>
      <c r="J1" s="2" t="s">
        <v>2</v>
      </c>
      <c r="P1" s="3" t="s">
        <v>3</v>
      </c>
      <c r="R1" s="1"/>
    </row>
    <row r="2" spans="1:24" ht="15.75" thickTop="1" x14ac:dyDescent="0.25">
      <c r="A2" s="122" t="s">
        <v>4</v>
      </c>
      <c r="B2" s="123"/>
      <c r="C2" s="124"/>
      <c r="D2" s="150" t="s">
        <v>5</v>
      </c>
      <c r="E2" s="4" t="s">
        <v>6</v>
      </c>
      <c r="F2" s="5" t="s">
        <v>7</v>
      </c>
      <c r="G2" s="132">
        <v>4.33</v>
      </c>
      <c r="H2" s="6"/>
      <c r="J2" s="7" t="s">
        <v>8</v>
      </c>
      <c r="K2" s="8">
        <v>13</v>
      </c>
      <c r="P2" t="s">
        <v>9</v>
      </c>
    </row>
    <row r="3" spans="1:24" ht="15.75" thickBot="1" x14ac:dyDescent="0.3">
      <c r="A3" s="125"/>
      <c r="B3" s="126"/>
      <c r="C3" s="126"/>
      <c r="D3" s="151"/>
      <c r="E3" s="9"/>
      <c r="F3" s="10" t="s">
        <v>10</v>
      </c>
      <c r="G3" s="133">
        <v>21.33</v>
      </c>
      <c r="H3" s="11"/>
    </row>
    <row r="4" spans="1:24" x14ac:dyDescent="0.25">
      <c r="A4" s="127" t="s">
        <v>11</v>
      </c>
      <c r="B4" s="128"/>
      <c r="C4" s="128"/>
      <c r="D4" s="152">
        <v>24</v>
      </c>
      <c r="E4" s="9"/>
      <c r="F4" s="9"/>
      <c r="G4" s="134"/>
      <c r="H4" s="9"/>
    </row>
    <row r="5" spans="1:24" ht="15.75" thickBot="1" x14ac:dyDescent="0.3">
      <c r="A5" s="127" t="s">
        <v>12</v>
      </c>
      <c r="B5" s="128"/>
      <c r="C5" s="128"/>
      <c r="D5" s="151">
        <v>50</v>
      </c>
      <c r="E5" s="9"/>
      <c r="F5" s="9"/>
      <c r="G5" s="134"/>
      <c r="H5" s="9"/>
      <c r="U5" t="s">
        <v>13</v>
      </c>
    </row>
    <row r="6" spans="1:24" x14ac:dyDescent="0.25">
      <c r="A6" s="127" t="s">
        <v>14</v>
      </c>
      <c r="B6" s="128"/>
      <c r="C6" s="128"/>
      <c r="D6" s="151">
        <f>D5*2</f>
        <v>100</v>
      </c>
      <c r="E6" s="9"/>
      <c r="F6" s="5" t="s">
        <v>15</v>
      </c>
      <c r="G6" s="132">
        <v>2.5</v>
      </c>
      <c r="H6" s="6" t="s">
        <v>16</v>
      </c>
    </row>
    <row r="7" spans="1:24" x14ac:dyDescent="0.25">
      <c r="A7" s="129"/>
      <c r="B7" s="130"/>
      <c r="C7" s="131"/>
      <c r="D7" s="153"/>
      <c r="E7" s="9"/>
      <c r="F7" s="12" t="s">
        <v>17</v>
      </c>
      <c r="G7" s="134">
        <v>120</v>
      </c>
      <c r="H7" s="13" t="s">
        <v>16</v>
      </c>
    </row>
    <row r="8" spans="1:24" ht="15.75" thickBot="1" x14ac:dyDescent="0.3">
      <c r="A8" s="109" t="s">
        <v>18</v>
      </c>
      <c r="B8" s="110"/>
      <c r="C8" s="111"/>
      <c r="D8" s="154">
        <f>G8*D6*G2</f>
        <v>10392</v>
      </c>
      <c r="E8" s="9" t="s">
        <v>6</v>
      </c>
      <c r="F8" s="10"/>
      <c r="G8" s="133">
        <v>24</v>
      </c>
      <c r="H8" s="11" t="s">
        <v>19</v>
      </c>
    </row>
    <row r="9" spans="1:24" x14ac:dyDescent="0.25">
      <c r="A9" s="109" t="s">
        <v>20</v>
      </c>
      <c r="B9" s="110"/>
      <c r="C9" s="111"/>
      <c r="D9" s="155">
        <v>3.2</v>
      </c>
      <c r="E9" s="9"/>
      <c r="F9" s="9"/>
      <c r="G9" s="134"/>
      <c r="H9" s="9"/>
    </row>
    <row r="10" spans="1:24" x14ac:dyDescent="0.25">
      <c r="A10" s="14"/>
      <c r="B10" s="15"/>
      <c r="C10" s="16"/>
      <c r="D10" s="155"/>
      <c r="E10" s="9"/>
      <c r="F10" s="9"/>
      <c r="G10" s="134"/>
      <c r="H10" s="9"/>
    </row>
    <row r="11" spans="1:24" x14ac:dyDescent="0.25">
      <c r="A11" s="14" t="s">
        <v>21</v>
      </c>
      <c r="B11" s="15"/>
      <c r="C11" s="16"/>
      <c r="D11" s="154">
        <v>6</v>
      </c>
      <c r="E11" s="9"/>
      <c r="F11" s="9"/>
      <c r="G11" s="134"/>
      <c r="H11" s="9"/>
    </row>
    <row r="12" spans="1:24" x14ac:dyDescent="0.25">
      <c r="A12" s="109"/>
      <c r="B12" s="110"/>
      <c r="C12" s="111"/>
      <c r="D12" s="153"/>
      <c r="E12" s="9"/>
      <c r="F12" s="9"/>
      <c r="G12" s="134"/>
      <c r="H12" s="9"/>
    </row>
    <row r="13" spans="1:24" x14ac:dyDescent="0.25">
      <c r="A13" s="109" t="s">
        <v>22</v>
      </c>
      <c r="B13" s="110"/>
      <c r="C13" s="111"/>
      <c r="D13" s="156">
        <v>22.3</v>
      </c>
      <c r="E13" s="9"/>
      <c r="F13" s="87" t="s">
        <v>23</v>
      </c>
      <c r="G13" s="135"/>
      <c r="H13" s="87"/>
    </row>
    <row r="14" spans="1:24" x14ac:dyDescent="0.25">
      <c r="A14" s="109"/>
      <c r="B14" s="110"/>
      <c r="C14" s="111"/>
      <c r="D14" s="151"/>
      <c r="E14" s="9"/>
      <c r="F14" s="9"/>
      <c r="G14" s="134"/>
      <c r="H14" s="9"/>
    </row>
    <row r="15" spans="1:24" x14ac:dyDescent="0.25">
      <c r="A15" s="109" t="s">
        <v>24</v>
      </c>
      <c r="B15" s="110"/>
      <c r="C15" s="111"/>
      <c r="D15" s="157">
        <f>H47</f>
        <v>28.716206376700026</v>
      </c>
      <c r="E15" s="9" t="s">
        <v>25</v>
      </c>
      <c r="F15" s="9"/>
      <c r="G15" s="134"/>
      <c r="H15" s="9"/>
    </row>
    <row r="16" spans="1:24" ht="15.75" thickBot="1" x14ac:dyDescent="0.3">
      <c r="A16" s="94"/>
      <c r="B16" s="95"/>
      <c r="C16" s="96"/>
      <c r="D16" s="158"/>
      <c r="E16" s="9"/>
      <c r="F16" s="9"/>
      <c r="G16" s="134"/>
      <c r="H16" s="9"/>
      <c r="Q16" s="118"/>
      <c r="R16" s="118"/>
      <c r="S16" s="118"/>
      <c r="T16" s="118"/>
      <c r="U16" s="118"/>
      <c r="V16" s="118"/>
      <c r="W16" s="118"/>
      <c r="X16" s="118"/>
    </row>
    <row r="17" spans="1:28" ht="16.5" thickTop="1" thickBot="1" x14ac:dyDescent="0.3">
      <c r="A17" s="9"/>
      <c r="B17" s="9"/>
      <c r="C17" s="9"/>
      <c r="D17" s="159"/>
      <c r="E17" s="9"/>
      <c r="F17" s="9"/>
      <c r="G17" s="134"/>
      <c r="H17" s="9"/>
    </row>
    <row r="18" spans="1:28" ht="15.75" thickBot="1" x14ac:dyDescent="0.3">
      <c r="A18" s="9"/>
      <c r="B18" s="9"/>
      <c r="C18" s="9"/>
      <c r="D18" s="159"/>
      <c r="E18" s="9"/>
      <c r="F18" s="9">
        <v>2024</v>
      </c>
      <c r="G18" s="134"/>
      <c r="H18" s="17">
        <v>2024</v>
      </c>
      <c r="I18" s="2"/>
      <c r="J18" s="2"/>
      <c r="K18" s="2"/>
      <c r="L18" s="2"/>
      <c r="M18" s="2"/>
      <c r="N18" s="2"/>
      <c r="O18" s="2"/>
      <c r="P18" s="18">
        <v>2023</v>
      </c>
      <c r="Q18" s="119">
        <v>2025</v>
      </c>
      <c r="R18" s="120"/>
      <c r="S18" s="121">
        <v>2026</v>
      </c>
      <c r="T18" s="120"/>
      <c r="U18" s="119">
        <v>2027</v>
      </c>
      <c r="V18" s="120"/>
      <c r="W18" s="119">
        <v>2028</v>
      </c>
      <c r="X18" s="120"/>
      <c r="Y18" s="119">
        <v>2029</v>
      </c>
      <c r="Z18" s="120"/>
      <c r="AA18" s="119">
        <v>2030</v>
      </c>
      <c r="AB18" s="120"/>
    </row>
    <row r="19" spans="1:28" ht="15.75" thickTop="1" x14ac:dyDescent="0.25">
      <c r="A19" s="101" t="s">
        <v>26</v>
      </c>
      <c r="B19" s="102"/>
      <c r="C19" s="102"/>
      <c r="D19" s="103"/>
      <c r="E19" s="19" t="s">
        <v>27</v>
      </c>
      <c r="F19" s="19" t="s">
        <v>28</v>
      </c>
      <c r="G19" s="136" t="s">
        <v>29</v>
      </c>
      <c r="H19" s="20" t="s">
        <v>30</v>
      </c>
      <c r="I19" s="21" t="s">
        <v>31</v>
      </c>
      <c r="J19" s="9"/>
      <c r="P19" s="22">
        <v>0.7</v>
      </c>
      <c r="Q19" s="23"/>
      <c r="R19" s="24">
        <v>0.7</v>
      </c>
      <c r="S19" s="25"/>
      <c r="T19" s="24">
        <v>0.7</v>
      </c>
      <c r="U19" s="23"/>
      <c r="V19" s="24">
        <v>0.7</v>
      </c>
      <c r="W19" s="23"/>
      <c r="X19" s="24">
        <v>0.7</v>
      </c>
      <c r="Y19" s="23"/>
      <c r="Z19" s="24">
        <v>0.7</v>
      </c>
      <c r="AA19" s="23"/>
      <c r="AB19" s="24">
        <v>0.7</v>
      </c>
    </row>
    <row r="20" spans="1:28" x14ac:dyDescent="0.25">
      <c r="A20" s="109" t="s">
        <v>32</v>
      </c>
      <c r="B20" s="110"/>
      <c r="C20" s="110"/>
      <c r="D20" s="111"/>
      <c r="E20" s="26">
        <v>3600000</v>
      </c>
      <c r="F20" s="26">
        <f>E20/5/12</f>
        <v>60000</v>
      </c>
      <c r="G20" s="137"/>
      <c r="H20" s="27">
        <f>F20/$D$8</f>
        <v>5.7736720554272516</v>
      </c>
      <c r="I20" s="28">
        <f>H20/$H$44</f>
        <v>0.22116567828134609</v>
      </c>
      <c r="J20" t="s">
        <v>33</v>
      </c>
      <c r="P20" s="29">
        <f>F20</f>
        <v>60000</v>
      </c>
      <c r="Q20" s="30">
        <f>F20</f>
        <v>60000</v>
      </c>
      <c r="R20" s="31">
        <f t="shared" ref="R20:X21" si="0">Q20</f>
        <v>60000</v>
      </c>
      <c r="S20" s="32">
        <f t="shared" si="0"/>
        <v>60000</v>
      </c>
      <c r="T20" s="31">
        <f t="shared" si="0"/>
        <v>60000</v>
      </c>
      <c r="U20" s="30">
        <f t="shared" si="0"/>
        <v>60000</v>
      </c>
      <c r="V20" s="31">
        <f t="shared" si="0"/>
        <v>60000</v>
      </c>
      <c r="W20" s="30">
        <f t="shared" si="0"/>
        <v>60000</v>
      </c>
      <c r="X20" s="31">
        <f t="shared" si="0"/>
        <v>60000</v>
      </c>
      <c r="Y20" s="30">
        <f t="shared" ref="Y20:Y21" si="1">X20</f>
        <v>60000</v>
      </c>
      <c r="Z20" s="31">
        <f t="shared" ref="Z20:Z21" si="2">Y20</f>
        <v>60000</v>
      </c>
      <c r="AA20" s="30">
        <f t="shared" ref="AA20:AA21" si="3">Z20</f>
        <v>60000</v>
      </c>
      <c r="AB20" s="31">
        <f t="shared" ref="AB20:AB21" si="4">AA20</f>
        <v>60000</v>
      </c>
    </row>
    <row r="21" spans="1:28" x14ac:dyDescent="0.25">
      <c r="A21" s="115" t="s">
        <v>34</v>
      </c>
      <c r="B21" s="116"/>
      <c r="C21" s="116"/>
      <c r="D21" s="117"/>
      <c r="E21" s="26">
        <f>425975/5</f>
        <v>85195</v>
      </c>
      <c r="F21" s="26">
        <f>E21/12</f>
        <v>7099.583333333333</v>
      </c>
      <c r="G21" s="137"/>
      <c r="H21" s="27">
        <f>F21/$D$8</f>
        <v>0.68317776494739535</v>
      </c>
      <c r="I21" s="28">
        <f>H21/$H$44</f>
        <v>2.6169736057193443E-2</v>
      </c>
      <c r="P21" s="29">
        <f>F21</f>
        <v>7099.583333333333</v>
      </c>
      <c r="Q21" s="30">
        <f>F21</f>
        <v>7099.583333333333</v>
      </c>
      <c r="R21" s="31">
        <f t="shared" si="0"/>
        <v>7099.583333333333</v>
      </c>
      <c r="S21" s="32">
        <f t="shared" si="0"/>
        <v>7099.583333333333</v>
      </c>
      <c r="T21" s="31">
        <f t="shared" si="0"/>
        <v>7099.583333333333</v>
      </c>
      <c r="U21" s="30">
        <f t="shared" si="0"/>
        <v>7099.583333333333</v>
      </c>
      <c r="V21" s="31">
        <f t="shared" si="0"/>
        <v>7099.583333333333</v>
      </c>
      <c r="W21" s="30">
        <f t="shared" si="0"/>
        <v>7099.583333333333</v>
      </c>
      <c r="X21" s="31">
        <f t="shared" si="0"/>
        <v>7099.583333333333</v>
      </c>
      <c r="Y21" s="30">
        <f t="shared" si="1"/>
        <v>7099.583333333333</v>
      </c>
      <c r="Z21" s="31">
        <f t="shared" si="2"/>
        <v>7099.583333333333</v>
      </c>
      <c r="AA21" s="30">
        <f t="shared" si="3"/>
        <v>7099.583333333333</v>
      </c>
      <c r="AB21" s="31">
        <f t="shared" si="4"/>
        <v>7099.583333333333</v>
      </c>
    </row>
    <row r="22" spans="1:28" x14ac:dyDescent="0.25">
      <c r="A22" s="109" t="s">
        <v>35</v>
      </c>
      <c r="B22" s="110"/>
      <c r="C22" s="110"/>
      <c r="D22" s="111"/>
      <c r="E22" s="33" t="s">
        <v>6</v>
      </c>
      <c r="F22" s="26">
        <v>17500</v>
      </c>
      <c r="G22" s="137"/>
      <c r="H22" s="27">
        <f>F22/D8</f>
        <v>1.6839876828329485</v>
      </c>
      <c r="I22" s="28">
        <f t="shared" ref="I22:I33" si="5">H22/$H$44</f>
        <v>6.4506656165392612E-2</v>
      </c>
      <c r="J22" t="s">
        <v>36</v>
      </c>
      <c r="P22" s="29">
        <f>F22*104%</f>
        <v>18200</v>
      </c>
      <c r="Q22" s="30">
        <f>F22*104%</f>
        <v>18200</v>
      </c>
      <c r="R22" s="31">
        <f>Q22</f>
        <v>18200</v>
      </c>
      <c r="S22" s="32">
        <f>Q22*104%</f>
        <v>18928</v>
      </c>
      <c r="T22" s="31">
        <f>S22</f>
        <v>18928</v>
      </c>
      <c r="U22" s="30">
        <f>S22*104%</f>
        <v>19685.12</v>
      </c>
      <c r="V22" s="31">
        <f>U22</f>
        <v>19685.12</v>
      </c>
      <c r="W22" s="30">
        <f>U22*104%</f>
        <v>20472.524799999999</v>
      </c>
      <c r="X22" s="31">
        <f>W22</f>
        <v>20472.524799999999</v>
      </c>
      <c r="Y22" s="30">
        <f>W22*104%</f>
        <v>21291.425791999998</v>
      </c>
      <c r="Z22" s="31">
        <f>Y22</f>
        <v>21291.425791999998</v>
      </c>
      <c r="AA22" s="30">
        <f>Y22*104%</f>
        <v>22143.082823679997</v>
      </c>
      <c r="AB22" s="31">
        <f>AA22</f>
        <v>22143.082823679997</v>
      </c>
    </row>
    <row r="23" spans="1:28" x14ac:dyDescent="0.25">
      <c r="A23" s="109" t="s">
        <v>37</v>
      </c>
      <c r="B23" s="110"/>
      <c r="C23" s="110"/>
      <c r="D23" s="111"/>
      <c r="E23" s="26"/>
      <c r="F23" s="26">
        <v>1000</v>
      </c>
      <c r="G23" s="137"/>
      <c r="H23" s="27">
        <f>F23/D8</f>
        <v>9.6227867590454194E-2</v>
      </c>
      <c r="I23" s="28">
        <f t="shared" si="5"/>
        <v>3.6860946380224348E-3</v>
      </c>
      <c r="J23" s="34"/>
      <c r="P23" s="29">
        <f>F23*104%</f>
        <v>1040</v>
      </c>
      <c r="Q23" s="30">
        <f>SUM(F23*104%)</f>
        <v>1040</v>
      </c>
      <c r="R23" s="31">
        <f>Q23*70%</f>
        <v>728</v>
      </c>
      <c r="S23" s="30">
        <f>SUM(Q23*104%)</f>
        <v>1081.6000000000001</v>
      </c>
      <c r="T23" s="31">
        <f>S23*T19</f>
        <v>757.12</v>
      </c>
      <c r="U23" s="30">
        <f>SUM(S23*104%)</f>
        <v>1124.8640000000003</v>
      </c>
      <c r="V23" s="31">
        <f>U23*V19</f>
        <v>787.40480000000014</v>
      </c>
      <c r="W23" s="30">
        <f>SUM(U23*104%)</f>
        <v>1169.8585600000004</v>
      </c>
      <c r="X23" s="31">
        <f>W23*X19</f>
        <v>818.9009920000002</v>
      </c>
      <c r="Y23" s="30">
        <f>SUM(W23*104%)</f>
        <v>1216.6529024000004</v>
      </c>
      <c r="Z23" s="31">
        <f>Y23*Z19</f>
        <v>851.65703168000016</v>
      </c>
      <c r="AA23" s="30">
        <f>SUM(Y23*104%)</f>
        <v>1265.3190184960004</v>
      </c>
      <c r="AB23" s="31">
        <f>AA23*AB19</f>
        <v>885.72331294720016</v>
      </c>
    </row>
    <row r="24" spans="1:28" x14ac:dyDescent="0.25">
      <c r="A24" s="109" t="s">
        <v>38</v>
      </c>
      <c r="B24" s="110"/>
      <c r="C24" s="110"/>
      <c r="D24" s="111"/>
      <c r="E24" s="33" t="s">
        <v>6</v>
      </c>
      <c r="F24" s="26">
        <v>450</v>
      </c>
      <c r="G24" s="137"/>
      <c r="H24" s="27">
        <f>F24/D8</f>
        <v>4.3302540415704388E-2</v>
      </c>
      <c r="I24" s="28">
        <f t="shared" si="5"/>
        <v>1.6587425871100957E-3</v>
      </c>
      <c r="P24" s="29">
        <f>F24*104%</f>
        <v>468</v>
      </c>
      <c r="Q24" s="30">
        <f>SUM(F24*104%)</f>
        <v>468</v>
      </c>
      <c r="R24" s="31">
        <f>Q24</f>
        <v>468</v>
      </c>
      <c r="S24" s="30">
        <f>SUM(Q24*104%)</f>
        <v>486.72</v>
      </c>
      <c r="T24" s="31">
        <f>S24</f>
        <v>486.72</v>
      </c>
      <c r="U24" s="30">
        <f>SUM(S24*104%)</f>
        <v>506.18880000000007</v>
      </c>
      <c r="V24" s="31">
        <f>U24</f>
        <v>506.18880000000007</v>
      </c>
      <c r="W24" s="30">
        <f>SUM(U24*104%)</f>
        <v>526.43635200000006</v>
      </c>
      <c r="X24" s="31">
        <f>W24</f>
        <v>526.43635200000006</v>
      </c>
      <c r="Y24" s="30">
        <f>SUM(W24*104%)</f>
        <v>547.49380608000013</v>
      </c>
      <c r="Z24" s="31">
        <f>Y24</f>
        <v>547.49380608000013</v>
      </c>
      <c r="AA24" s="30">
        <f>SUM(Y24*104%)</f>
        <v>569.39355832320018</v>
      </c>
      <c r="AB24" s="31">
        <f>AA24</f>
        <v>569.39355832320018</v>
      </c>
    </row>
    <row r="25" spans="1:28" x14ac:dyDescent="0.25">
      <c r="A25" s="109" t="s">
        <v>39</v>
      </c>
      <c r="B25" s="110"/>
      <c r="C25" s="110"/>
      <c r="D25" s="111"/>
      <c r="E25" s="35" t="s">
        <v>6</v>
      </c>
      <c r="F25" s="26">
        <v>200</v>
      </c>
      <c r="G25" s="137"/>
      <c r="H25" s="27">
        <f>F25/D8</f>
        <v>1.924557351809084E-2</v>
      </c>
      <c r="I25" s="28">
        <f t="shared" si="5"/>
        <v>7.3721892760448703E-4</v>
      </c>
      <c r="J25" s="36"/>
      <c r="P25" s="29">
        <f>F25*104%</f>
        <v>208</v>
      </c>
      <c r="Q25" s="30">
        <f>SUM(F25*104%)</f>
        <v>208</v>
      </c>
      <c r="R25" s="31">
        <f>Q25</f>
        <v>208</v>
      </c>
      <c r="S25" s="30">
        <f>SUM(Q25*104%)</f>
        <v>216.32</v>
      </c>
      <c r="T25" s="31">
        <f>S25</f>
        <v>216.32</v>
      </c>
      <c r="U25" s="30">
        <f>SUM(S25*104%)</f>
        <v>224.97280000000001</v>
      </c>
      <c r="V25" s="31">
        <f>U25</f>
        <v>224.97280000000001</v>
      </c>
      <c r="W25" s="30">
        <f>SUM(U25*104%)</f>
        <v>233.97171200000003</v>
      </c>
      <c r="X25" s="31">
        <f>W25</f>
        <v>233.97171200000003</v>
      </c>
      <c r="Y25" s="30">
        <f>SUM(W25*104%)</f>
        <v>243.33058048000004</v>
      </c>
      <c r="Z25" s="31">
        <f>Y25</f>
        <v>243.33058048000004</v>
      </c>
      <c r="AA25" s="30">
        <f>SUM(Y25*104%)</f>
        <v>253.06380369920004</v>
      </c>
      <c r="AB25" s="31">
        <f>AA25</f>
        <v>253.06380369920004</v>
      </c>
    </row>
    <row r="26" spans="1:28" x14ac:dyDescent="0.25">
      <c r="A26" s="109" t="s">
        <v>40</v>
      </c>
      <c r="B26" s="110"/>
      <c r="C26" s="110"/>
      <c r="D26" s="111"/>
      <c r="E26" s="33" t="s">
        <v>6</v>
      </c>
      <c r="F26" s="26">
        <v>140</v>
      </c>
      <c r="G26" s="137"/>
      <c r="H26" s="27">
        <f>F26/D8</f>
        <v>1.3471901462663588E-2</v>
      </c>
      <c r="I26" s="28">
        <f t="shared" si="5"/>
        <v>5.1605324932314095E-4</v>
      </c>
      <c r="J26" s="36"/>
      <c r="P26" s="29">
        <f>F26*104%</f>
        <v>145.6</v>
      </c>
      <c r="Q26" s="30">
        <f>SUM(F26*104%)</f>
        <v>145.6</v>
      </c>
      <c r="R26" s="31">
        <f>Q26</f>
        <v>145.6</v>
      </c>
      <c r="S26" s="30">
        <f>SUM(Q26*104%)</f>
        <v>151.42400000000001</v>
      </c>
      <c r="T26" s="31">
        <f>S26</f>
        <v>151.42400000000001</v>
      </c>
      <c r="U26" s="30">
        <f>SUM(S26*104%)</f>
        <v>157.48096000000001</v>
      </c>
      <c r="V26" s="31">
        <f>U26</f>
        <v>157.48096000000001</v>
      </c>
      <c r="W26" s="30">
        <f>SUM(U26*104%)</f>
        <v>163.78019840000002</v>
      </c>
      <c r="X26" s="31">
        <f>W26</f>
        <v>163.78019840000002</v>
      </c>
      <c r="Y26" s="30">
        <f>SUM(W26*104%)</f>
        <v>170.33140633600001</v>
      </c>
      <c r="Z26" s="31">
        <f>Y26</f>
        <v>170.33140633600001</v>
      </c>
      <c r="AA26" s="30">
        <f>SUM(Y26*104%)</f>
        <v>177.14466258944003</v>
      </c>
      <c r="AB26" s="31">
        <f>AA26</f>
        <v>177.14466258944003</v>
      </c>
    </row>
    <row r="27" spans="1:28" x14ac:dyDescent="0.25">
      <c r="A27" s="109" t="s">
        <v>41</v>
      </c>
      <c r="B27" s="110"/>
      <c r="C27" s="110"/>
      <c r="D27" s="111"/>
      <c r="E27" s="35" t="s">
        <v>6</v>
      </c>
      <c r="F27" s="26">
        <v>1350</v>
      </c>
      <c r="G27" s="137"/>
      <c r="H27" s="27">
        <f>F27/D8</f>
        <v>0.12990762124711316</v>
      </c>
      <c r="I27" s="28">
        <f t="shared" si="5"/>
        <v>4.9762277613302876E-3</v>
      </c>
      <c r="J27" s="36"/>
      <c r="P27" s="29">
        <f>F27*104%</f>
        <v>1404</v>
      </c>
      <c r="Q27" s="30">
        <f>SUM(F27*104%)</f>
        <v>1404</v>
      </c>
      <c r="R27" s="31">
        <f>Q27</f>
        <v>1404</v>
      </c>
      <c r="S27" s="30">
        <f>SUM(Q27*104%)</f>
        <v>1460.16</v>
      </c>
      <c r="T27" s="31">
        <f>S27</f>
        <v>1460.16</v>
      </c>
      <c r="U27" s="30">
        <f>SUM(S27*104%)</f>
        <v>1518.5664000000002</v>
      </c>
      <c r="V27" s="31">
        <f>U27</f>
        <v>1518.5664000000002</v>
      </c>
      <c r="W27" s="30">
        <f>SUM(U27*104%)</f>
        <v>1579.3090560000003</v>
      </c>
      <c r="X27" s="31">
        <f>W27</f>
        <v>1579.3090560000003</v>
      </c>
      <c r="Y27" s="30">
        <f>SUM(W27*104%)</f>
        <v>1642.4814182400003</v>
      </c>
      <c r="Z27" s="31">
        <f>Y27</f>
        <v>1642.4814182400003</v>
      </c>
      <c r="AA27" s="30">
        <f>SUM(Y27*104%)</f>
        <v>1708.1806749696004</v>
      </c>
      <c r="AB27" s="31">
        <f>AA27</f>
        <v>1708.1806749696004</v>
      </c>
    </row>
    <row r="28" spans="1:28" x14ac:dyDescent="0.25">
      <c r="A28" s="115" t="s">
        <v>42</v>
      </c>
      <c r="B28" s="116"/>
      <c r="C28" s="116"/>
      <c r="D28" s="160">
        <v>9.5000000000000001E-2</v>
      </c>
      <c r="E28" s="37">
        <f>E20*D28</f>
        <v>342000</v>
      </c>
      <c r="F28" s="26">
        <f>E28/12</f>
        <v>28500</v>
      </c>
      <c r="G28" s="137"/>
      <c r="H28" s="27">
        <f>F28/D8</f>
        <v>2.7424942263279446</v>
      </c>
      <c r="I28" s="28">
        <f t="shared" si="5"/>
        <v>0.1050536971836394</v>
      </c>
      <c r="P28" s="29">
        <f>F28*104%</f>
        <v>29640</v>
      </c>
      <c r="Q28" s="30">
        <f>SUM(F28*104%)</f>
        <v>29640</v>
      </c>
      <c r="R28" s="31">
        <f>Q28</f>
        <v>29640</v>
      </c>
      <c r="S28" s="30">
        <f>SUM(Q28*104%)</f>
        <v>30825.600000000002</v>
      </c>
      <c r="T28" s="31">
        <f>S28</f>
        <v>30825.600000000002</v>
      </c>
      <c r="U28" s="30">
        <f>SUM(S28*104%)</f>
        <v>32058.624000000003</v>
      </c>
      <c r="V28" s="31">
        <f>U28</f>
        <v>32058.624000000003</v>
      </c>
      <c r="W28" s="30">
        <f>SUM(U28*104%)</f>
        <v>33340.968960000006</v>
      </c>
      <c r="X28" s="31">
        <f>W28</f>
        <v>33340.968960000006</v>
      </c>
      <c r="Y28" s="30">
        <f>SUM(W28*104%)</f>
        <v>34674.60771840001</v>
      </c>
      <c r="Z28" s="31">
        <f>Y28</f>
        <v>34674.60771840001</v>
      </c>
      <c r="AA28" s="30">
        <f>SUM(Y28*104%)</f>
        <v>36061.592027136008</v>
      </c>
      <c r="AB28" s="31">
        <f>AA28</f>
        <v>36061.592027136008</v>
      </c>
    </row>
    <row r="29" spans="1:28" x14ac:dyDescent="0.25">
      <c r="A29" s="109" t="s">
        <v>43</v>
      </c>
      <c r="B29" s="110"/>
      <c r="C29" s="110"/>
      <c r="D29" s="111"/>
      <c r="E29" s="33" t="s">
        <v>6</v>
      </c>
      <c r="F29" s="26">
        <f>J29*D8</f>
        <v>5196</v>
      </c>
      <c r="G29" s="137"/>
      <c r="H29" s="27">
        <f>F29/D8</f>
        <v>0.5</v>
      </c>
      <c r="I29" s="28">
        <f t="shared" si="5"/>
        <v>1.9152947739164573E-2</v>
      </c>
      <c r="J29" s="38">
        <v>0.5</v>
      </c>
      <c r="K29" t="s">
        <v>44</v>
      </c>
      <c r="L29" t="s">
        <v>45</v>
      </c>
      <c r="P29" s="29">
        <f>F29*104%</f>
        <v>5403.84</v>
      </c>
      <c r="Q29" s="30">
        <f>SUM(F29*104%)</f>
        <v>5403.84</v>
      </c>
      <c r="R29" s="31">
        <f>Q29*70%</f>
        <v>3782.6879999999996</v>
      </c>
      <c r="S29" s="30">
        <f>SUM(Q29*104%)</f>
        <v>5619.9936000000007</v>
      </c>
      <c r="T29" s="31">
        <f>S29*70%</f>
        <v>3933.9955200000004</v>
      </c>
      <c r="U29" s="30">
        <f>SUM(S29*104%)</f>
        <v>5844.7933440000006</v>
      </c>
      <c r="V29" s="31">
        <f>U29*70%</f>
        <v>4091.3553408000002</v>
      </c>
      <c r="W29" s="30">
        <f>SUM(U29*104%)</f>
        <v>6078.5850777600008</v>
      </c>
      <c r="X29" s="31">
        <f>W29*70%</f>
        <v>4255.0095544320002</v>
      </c>
      <c r="Y29" s="30">
        <f>SUM(W29*104%)</f>
        <v>6321.7284808704007</v>
      </c>
      <c r="Z29" s="31">
        <f>Y29*70%</f>
        <v>4425.2099366092798</v>
      </c>
      <c r="AA29" s="30">
        <f>SUM(Y29*104%)</f>
        <v>6574.5976201052172</v>
      </c>
      <c r="AB29" s="31">
        <f>AA29*70%</f>
        <v>4602.2183340736519</v>
      </c>
    </row>
    <row r="30" spans="1:28" x14ac:dyDescent="0.25">
      <c r="A30" s="109" t="s">
        <v>46</v>
      </c>
      <c r="B30" s="110"/>
      <c r="C30" s="110"/>
      <c r="D30" s="111"/>
      <c r="E30" s="26" t="s">
        <v>6</v>
      </c>
      <c r="F30" s="26">
        <v>700</v>
      </c>
      <c r="G30" s="137"/>
      <c r="H30" s="27">
        <f>F30/D8</f>
        <v>6.735950731331794E-2</v>
      </c>
      <c r="I30" s="28">
        <f t="shared" si="5"/>
        <v>2.5802662466157048E-3</v>
      </c>
      <c r="J30" s="38" t="s">
        <v>6</v>
      </c>
      <c r="K30" t="s">
        <v>6</v>
      </c>
      <c r="P30" s="29">
        <f>F30*104%</f>
        <v>728</v>
      </c>
      <c r="Q30" s="30">
        <f>SUM(F30*104%)</f>
        <v>728</v>
      </c>
      <c r="R30" s="31">
        <f>Q30</f>
        <v>728</v>
      </c>
      <c r="S30" s="30">
        <f>SUM(Q30*104%)</f>
        <v>757.12</v>
      </c>
      <c r="T30" s="31">
        <f>S30</f>
        <v>757.12</v>
      </c>
      <c r="U30" s="30">
        <f>SUM(S30*104%)</f>
        <v>787.40480000000002</v>
      </c>
      <c r="V30" s="31">
        <f>U30</f>
        <v>787.40480000000002</v>
      </c>
      <c r="W30" s="30">
        <f>SUM(U30*104%)</f>
        <v>818.90099200000009</v>
      </c>
      <c r="X30" s="31">
        <f>W30</f>
        <v>818.90099200000009</v>
      </c>
      <c r="Y30" s="30">
        <f>SUM(W30*104%)</f>
        <v>851.65703168000016</v>
      </c>
      <c r="Z30" s="31">
        <f>Y30</f>
        <v>851.65703168000016</v>
      </c>
      <c r="AA30" s="30">
        <f>SUM(Y30*104%)</f>
        <v>885.72331294720016</v>
      </c>
      <c r="AB30" s="31">
        <f>AA30</f>
        <v>885.72331294720016</v>
      </c>
    </row>
    <row r="31" spans="1:28" x14ac:dyDescent="0.25">
      <c r="A31" s="109" t="s">
        <v>47</v>
      </c>
      <c r="B31" s="110"/>
      <c r="C31" s="110"/>
      <c r="D31" s="111"/>
      <c r="E31" s="26" t="s">
        <v>6</v>
      </c>
      <c r="F31" s="26">
        <v>8000</v>
      </c>
      <c r="G31" s="137"/>
      <c r="H31" s="27">
        <f>F31/D8</f>
        <v>0.76982294072363355</v>
      </c>
      <c r="I31" s="28">
        <f t="shared" si="5"/>
        <v>2.9488757104179478E-2</v>
      </c>
      <c r="J31" s="38">
        <v>0.7</v>
      </c>
      <c r="K31" t="s">
        <v>44</v>
      </c>
      <c r="L31" t="s">
        <v>45</v>
      </c>
      <c r="P31" s="29">
        <f>F31*104%</f>
        <v>8320</v>
      </c>
      <c r="Q31" s="30">
        <f>SUM(F31*104%)</f>
        <v>8320</v>
      </c>
      <c r="R31" s="31">
        <f>Q31*70%</f>
        <v>5824</v>
      </c>
      <c r="S31" s="30">
        <f>SUM(Q31*104%)</f>
        <v>8652.8000000000011</v>
      </c>
      <c r="T31" s="31">
        <f>S31*70%</f>
        <v>6056.96</v>
      </c>
      <c r="U31" s="30">
        <f>SUM(S31*104%)</f>
        <v>8998.9120000000021</v>
      </c>
      <c r="V31" s="31">
        <f>U31*70%</f>
        <v>6299.2384000000011</v>
      </c>
      <c r="W31" s="30">
        <f>SUM(U31*104%)</f>
        <v>9358.8684800000028</v>
      </c>
      <c r="X31" s="31">
        <f>W31*70%</f>
        <v>6551.2079360000016</v>
      </c>
      <c r="Y31" s="30">
        <f>SUM(W31*104%)</f>
        <v>9733.2232192000029</v>
      </c>
      <c r="Z31" s="31">
        <f>Y31*70%</f>
        <v>6813.2562534400013</v>
      </c>
      <c r="AA31" s="30">
        <f>SUM(Y31*104%)</f>
        <v>10122.552147968003</v>
      </c>
      <c r="AB31" s="31">
        <f>AA31*70%</f>
        <v>7085.7865035776013</v>
      </c>
    </row>
    <row r="32" spans="1:28" x14ac:dyDescent="0.25">
      <c r="A32" s="14" t="s">
        <v>48</v>
      </c>
      <c r="B32" s="15"/>
      <c r="C32" s="15"/>
      <c r="D32" s="88"/>
      <c r="E32" s="26"/>
      <c r="F32" s="26">
        <v>680</v>
      </c>
      <c r="G32" s="138"/>
      <c r="H32" s="39">
        <f>F32/D8</f>
        <v>6.5434949961508851E-2</v>
      </c>
      <c r="I32" s="28">
        <f t="shared" si="5"/>
        <v>2.5065443538552557E-3</v>
      </c>
      <c r="J32" s="36"/>
      <c r="P32" s="29">
        <f>F32*104%</f>
        <v>707.2</v>
      </c>
      <c r="Q32" s="30">
        <f>SUM(F32*104%)</f>
        <v>707.2</v>
      </c>
      <c r="R32" s="31">
        <f>Q32</f>
        <v>707.2</v>
      </c>
      <c r="S32" s="30">
        <f>SUM(Q32*104%)</f>
        <v>735.48800000000006</v>
      </c>
      <c r="T32" s="31">
        <f>S32</f>
        <v>735.48800000000006</v>
      </c>
      <c r="U32" s="30">
        <f>SUM(S32*104%)</f>
        <v>764.90752000000009</v>
      </c>
      <c r="V32" s="31">
        <f>U32</f>
        <v>764.90752000000009</v>
      </c>
      <c r="W32" s="30">
        <f>SUM(U32*104%)</f>
        <v>795.50382080000009</v>
      </c>
      <c r="X32" s="31">
        <f>W32</f>
        <v>795.50382080000009</v>
      </c>
      <c r="Y32" s="30">
        <f>SUM(W32*104%)</f>
        <v>827.32397363200016</v>
      </c>
      <c r="Z32" s="31">
        <f>Y32</f>
        <v>827.32397363200016</v>
      </c>
      <c r="AA32" s="30">
        <f>SUM(Y32*104%)</f>
        <v>860.41693257728025</v>
      </c>
      <c r="AB32" s="31">
        <f>AA32</f>
        <v>860.41693257728025</v>
      </c>
    </row>
    <row r="33" spans="1:28" x14ac:dyDescent="0.25">
      <c r="A33" s="14" t="s">
        <v>49</v>
      </c>
      <c r="B33" s="15"/>
      <c r="C33" s="15"/>
      <c r="D33" s="88"/>
      <c r="E33" s="26"/>
      <c r="F33" s="26">
        <f>H33*D8</f>
        <v>72419.25</v>
      </c>
      <c r="G33" s="138"/>
      <c r="H33" s="39">
        <f>D13/D9</f>
        <v>6.96875</v>
      </c>
      <c r="I33" s="28">
        <f t="shared" si="5"/>
        <v>0.2669442091146062</v>
      </c>
      <c r="P33" s="29">
        <f>SUM(D8*H33)</f>
        <v>72419.25</v>
      </c>
      <c r="Q33" s="30">
        <f>F33</f>
        <v>72419.25</v>
      </c>
      <c r="R33" s="31">
        <f>Q33*70%</f>
        <v>50693.474999999999</v>
      </c>
      <c r="S33" s="30">
        <v>72419.25</v>
      </c>
      <c r="T33" s="31">
        <f>S33*70%</f>
        <v>50693.474999999999</v>
      </c>
      <c r="U33" s="30">
        <v>72419.25</v>
      </c>
      <c r="V33" s="31">
        <f>U33*70%</f>
        <v>50693.474999999999</v>
      </c>
      <c r="W33" s="30">
        <v>72419.25</v>
      </c>
      <c r="X33" s="31">
        <f>W33*70%</f>
        <v>50693.474999999999</v>
      </c>
      <c r="Y33" s="30">
        <v>72419.25</v>
      </c>
      <c r="Z33" s="31">
        <f>Y33*70%</f>
        <v>50693.474999999999</v>
      </c>
      <c r="AA33" s="30">
        <v>72419.25</v>
      </c>
      <c r="AB33" s="31">
        <f>AA33*70%</f>
        <v>50693.474999999999</v>
      </c>
    </row>
    <row r="34" spans="1:28" ht="15.75" thickBot="1" x14ac:dyDescent="0.3">
      <c r="A34" s="109" t="s">
        <v>50</v>
      </c>
      <c r="B34" s="110"/>
      <c r="C34" s="110"/>
      <c r="D34" s="111"/>
      <c r="E34" s="26"/>
      <c r="F34" s="26"/>
      <c r="G34" s="138"/>
      <c r="H34" s="40"/>
      <c r="I34" s="41"/>
      <c r="P34" s="42"/>
      <c r="Q34" s="43"/>
      <c r="R34" s="44"/>
      <c r="S34" s="45"/>
      <c r="T34" s="44"/>
      <c r="U34" s="32"/>
      <c r="V34" s="44"/>
      <c r="W34" s="43"/>
      <c r="X34" s="44"/>
      <c r="Y34" s="43"/>
      <c r="Z34" s="44"/>
      <c r="AA34" s="43"/>
      <c r="AB34" s="44"/>
    </row>
    <row r="35" spans="1:28" ht="15.75" thickTop="1" x14ac:dyDescent="0.25">
      <c r="A35" s="89" t="s">
        <v>51</v>
      </c>
      <c r="B35" s="90"/>
      <c r="C35" s="90"/>
      <c r="D35" s="91"/>
      <c r="E35" s="26"/>
      <c r="F35" s="26">
        <f>SUM(F20:F34)</f>
        <v>203234.83333333331</v>
      </c>
      <c r="G35" s="139"/>
      <c r="H35" s="47">
        <f>SUM(H20:H34)</f>
        <v>19.556854631768026</v>
      </c>
      <c r="I35" s="41"/>
      <c r="P35" s="42"/>
      <c r="Q35" s="43"/>
      <c r="R35" s="44"/>
      <c r="S35" s="45"/>
      <c r="T35" s="44"/>
      <c r="U35" s="43"/>
      <c r="V35" s="44"/>
      <c r="W35" s="43"/>
      <c r="X35" s="44"/>
      <c r="Y35" s="43"/>
      <c r="Z35" s="44"/>
      <c r="AA35" s="43"/>
      <c r="AB35" s="44"/>
    </row>
    <row r="36" spans="1:28" ht="15.75" thickBot="1" x14ac:dyDescent="0.3">
      <c r="A36" s="94"/>
      <c r="B36" s="95"/>
      <c r="C36" s="95"/>
      <c r="D36" s="96"/>
      <c r="E36" s="48"/>
      <c r="F36" s="48"/>
      <c r="G36" s="140"/>
      <c r="H36" s="40"/>
      <c r="I36" s="41"/>
      <c r="P36" s="42"/>
      <c r="Q36" s="43"/>
      <c r="R36" s="44"/>
      <c r="S36" s="45"/>
      <c r="T36" s="44"/>
      <c r="U36" s="43"/>
      <c r="V36" s="44"/>
      <c r="W36" s="43"/>
      <c r="X36" s="44"/>
      <c r="Y36" s="43"/>
      <c r="Z36" s="44"/>
      <c r="AA36" s="43"/>
      <c r="AB36" s="44"/>
    </row>
    <row r="37" spans="1:28" ht="15.75" thickTop="1" x14ac:dyDescent="0.25">
      <c r="A37" s="112" t="s">
        <v>52</v>
      </c>
      <c r="B37" s="113"/>
      <c r="C37" s="113"/>
      <c r="D37" s="114"/>
      <c r="E37" s="49" t="s">
        <v>53</v>
      </c>
      <c r="F37" s="49" t="s">
        <v>28</v>
      </c>
      <c r="G37" s="141" t="s">
        <v>29</v>
      </c>
      <c r="H37" s="50" t="s">
        <v>30</v>
      </c>
      <c r="I37" s="41"/>
      <c r="K37" s="51" t="s">
        <v>54</v>
      </c>
      <c r="L37" s="51" t="s">
        <v>55</v>
      </c>
      <c r="M37" s="51" t="s">
        <v>56</v>
      </c>
      <c r="N37" s="51" t="s">
        <v>57</v>
      </c>
      <c r="P37" s="42"/>
      <c r="Q37" s="43"/>
      <c r="R37" s="44"/>
      <c r="S37" s="45"/>
      <c r="T37" s="44"/>
      <c r="U37" s="43"/>
      <c r="V37" s="44"/>
      <c r="W37" s="43"/>
      <c r="X37" s="44"/>
      <c r="Y37" s="43"/>
      <c r="Z37" s="44"/>
      <c r="AA37" s="43"/>
      <c r="AB37" s="44"/>
    </row>
    <row r="38" spans="1:28" x14ac:dyDescent="0.25">
      <c r="A38" s="109" t="s">
        <v>58</v>
      </c>
      <c r="B38" s="110"/>
      <c r="C38" s="110"/>
      <c r="D38" s="111"/>
      <c r="E38" s="26">
        <v>50</v>
      </c>
      <c r="F38" s="26">
        <f>E38*N38</f>
        <v>23382</v>
      </c>
      <c r="G38" s="137" t="s">
        <v>6</v>
      </c>
      <c r="H38" s="27">
        <f>F38/D8</f>
        <v>2.25</v>
      </c>
      <c r="I38" s="28">
        <f t="shared" ref="I38:I40" si="6">H38/$H$44</f>
        <v>8.6188264826240576E-2</v>
      </c>
      <c r="J38" s="52"/>
      <c r="K38" s="53">
        <v>4.5</v>
      </c>
      <c r="L38" s="54">
        <f>D4</f>
        <v>24</v>
      </c>
      <c r="M38" s="55">
        <v>4.33</v>
      </c>
      <c r="N38" s="54">
        <f>K38*1*L38*M38</f>
        <v>467.64</v>
      </c>
      <c r="P38" s="29">
        <f>SUM(F38*104%)</f>
        <v>24317.280000000002</v>
      </c>
      <c r="Q38" s="30">
        <f>SUM(P38*104%)</f>
        <v>25289.971200000004</v>
      </c>
      <c r="R38" s="31">
        <f>Q38</f>
        <v>25289.971200000004</v>
      </c>
      <c r="S38" s="32">
        <f>Q38*104%</f>
        <v>26301.570048000005</v>
      </c>
      <c r="T38" s="31">
        <f>S38</f>
        <v>26301.570048000005</v>
      </c>
      <c r="U38" s="30">
        <f>S38*104%</f>
        <v>27353.632849920006</v>
      </c>
      <c r="V38" s="31">
        <f>U38</f>
        <v>27353.632849920006</v>
      </c>
      <c r="W38" s="30">
        <f>U38*104%</f>
        <v>28447.778163916806</v>
      </c>
      <c r="X38" s="31">
        <f>W38</f>
        <v>28447.778163916806</v>
      </c>
      <c r="Y38" s="30">
        <f>W38*104%</f>
        <v>29585.689290473478</v>
      </c>
      <c r="Z38" s="31">
        <f>Y38</f>
        <v>29585.689290473478</v>
      </c>
      <c r="AA38" s="30">
        <f>Y38*104%</f>
        <v>30769.116862092418</v>
      </c>
      <c r="AB38" s="31">
        <f>AA38</f>
        <v>30769.116862092418</v>
      </c>
    </row>
    <row r="39" spans="1:28" x14ac:dyDescent="0.25">
      <c r="A39" s="109" t="s">
        <v>59</v>
      </c>
      <c r="B39" s="110"/>
      <c r="C39" s="110"/>
      <c r="D39" s="111"/>
      <c r="E39" s="26"/>
      <c r="F39" s="26">
        <v>9600</v>
      </c>
      <c r="G39" s="137" t="s">
        <v>6</v>
      </c>
      <c r="H39" s="27">
        <f>F39/D8</f>
        <v>0.92378752886836024</v>
      </c>
      <c r="I39" s="28">
        <f t="shared" si="6"/>
        <v>3.5386508525015375E-2</v>
      </c>
      <c r="P39" s="29">
        <f>F39</f>
        <v>9600</v>
      </c>
      <c r="Q39" s="30">
        <f>SUM(P39*104%)</f>
        <v>9984</v>
      </c>
      <c r="R39" s="31">
        <f>Q39</f>
        <v>9984</v>
      </c>
      <c r="S39" s="32">
        <f>Q39*104%</f>
        <v>10383.36</v>
      </c>
      <c r="T39" s="31">
        <f>S39</f>
        <v>10383.36</v>
      </c>
      <c r="U39" s="30">
        <f>S39*104%</f>
        <v>10798.6944</v>
      </c>
      <c r="V39" s="31">
        <f>U39</f>
        <v>10798.6944</v>
      </c>
      <c r="W39" s="30">
        <f>U39*104%</f>
        <v>11230.642176000001</v>
      </c>
      <c r="X39" s="31">
        <f>W39</f>
        <v>11230.642176000001</v>
      </c>
      <c r="Y39" s="30">
        <f>W39*104%</f>
        <v>11679.867863040001</v>
      </c>
      <c r="Z39" s="31">
        <f>Y39</f>
        <v>11679.867863040001</v>
      </c>
      <c r="AA39" s="30">
        <f>Y39*104%</f>
        <v>12147.062577561601</v>
      </c>
      <c r="AB39" s="31">
        <f>AA39</f>
        <v>12147.062577561601</v>
      </c>
    </row>
    <row r="40" spans="1:28" x14ac:dyDescent="0.25">
      <c r="A40" s="109" t="s">
        <v>60</v>
      </c>
      <c r="B40" s="110"/>
      <c r="C40" s="110"/>
      <c r="D40" s="111"/>
      <c r="E40" s="26">
        <v>75</v>
      </c>
      <c r="F40" s="26">
        <f>E40*N38</f>
        <v>35073</v>
      </c>
      <c r="G40" s="142" t="s">
        <v>6</v>
      </c>
      <c r="H40" s="27">
        <f>F40/D8</f>
        <v>3.375</v>
      </c>
      <c r="I40" s="28">
        <f t="shared" si="6"/>
        <v>0.12928239723936086</v>
      </c>
      <c r="J40" s="56"/>
      <c r="O40" t="s">
        <v>6</v>
      </c>
      <c r="P40" s="29">
        <f>SUM(F40*104%)</f>
        <v>36475.919999999998</v>
      </c>
      <c r="Q40" s="30">
        <f>SUM(P40*104%)</f>
        <v>37934.9568</v>
      </c>
      <c r="R40" s="31">
        <f>Q40</f>
        <v>37934.9568</v>
      </c>
      <c r="S40" s="32">
        <f>Q40*104%</f>
        <v>39452.355071999998</v>
      </c>
      <c r="T40" s="31">
        <f>S40</f>
        <v>39452.355071999998</v>
      </c>
      <c r="U40" s="30">
        <f>S40*104%</f>
        <v>41030.449274879997</v>
      </c>
      <c r="V40" s="31">
        <f>U40</f>
        <v>41030.449274879997</v>
      </c>
      <c r="W40" s="30">
        <f>U40*104%</f>
        <v>42671.6672458752</v>
      </c>
      <c r="X40" s="31">
        <f>W40</f>
        <v>42671.6672458752</v>
      </c>
      <c r="Y40" s="30">
        <f>W40*104%</f>
        <v>44378.533935710213</v>
      </c>
      <c r="Z40" s="31">
        <f>Y40</f>
        <v>44378.533935710213</v>
      </c>
      <c r="AA40" s="30">
        <f>Y40*104%</f>
        <v>46153.675293138622</v>
      </c>
      <c r="AB40" s="31">
        <f>AA40</f>
        <v>46153.675293138622</v>
      </c>
    </row>
    <row r="41" spans="1:28" ht="15.75" thickBot="1" x14ac:dyDescent="0.3">
      <c r="A41" s="109"/>
      <c r="B41" s="110"/>
      <c r="C41" s="110"/>
      <c r="D41" s="111"/>
      <c r="E41" s="26"/>
      <c r="F41" s="26"/>
      <c r="G41" s="138"/>
      <c r="H41" s="40"/>
      <c r="I41" s="41"/>
      <c r="P41" s="42"/>
      <c r="Q41" s="43"/>
      <c r="R41" s="44"/>
      <c r="S41" s="45"/>
      <c r="T41" s="44"/>
      <c r="U41" s="43"/>
      <c r="V41" s="44"/>
      <c r="W41" s="43"/>
      <c r="X41" s="44"/>
      <c r="Y41" s="43"/>
      <c r="Z41" s="44"/>
      <c r="AA41" s="43"/>
      <c r="AB41" s="44"/>
    </row>
    <row r="42" spans="1:28" ht="16.5" thickTop="1" thickBot="1" x14ac:dyDescent="0.3">
      <c r="A42" s="89" t="s">
        <v>51</v>
      </c>
      <c r="B42" s="90"/>
      <c r="C42" s="90"/>
      <c r="D42" s="91"/>
      <c r="E42" s="26"/>
      <c r="F42" s="26">
        <f>SUM(F38:F40)+F35</f>
        <v>271289.83333333331</v>
      </c>
      <c r="G42" s="139" t="s">
        <v>6</v>
      </c>
      <c r="H42" s="47">
        <f>SUM(H38:H41)</f>
        <v>6.5487875288683597</v>
      </c>
      <c r="I42" s="41"/>
      <c r="P42" s="57">
        <f>SUM(P20:P41)</f>
        <v>276176.67333333334</v>
      </c>
      <c r="Q42" s="58">
        <f t="shared" ref="Q42:X42" si="7">SUM(Q20:Q40)</f>
        <v>278992.40133333334</v>
      </c>
      <c r="R42" s="59">
        <f t="shared" si="7"/>
        <v>252837.47433333332</v>
      </c>
      <c r="S42" s="60">
        <f t="shared" si="7"/>
        <v>284571.34405333333</v>
      </c>
      <c r="T42" s="61">
        <f t="shared" si="7"/>
        <v>258239.25097333337</v>
      </c>
      <c r="U42" s="62">
        <f t="shared" si="7"/>
        <v>290373.44448213337</v>
      </c>
      <c r="V42" s="61">
        <f t="shared" si="7"/>
        <v>263857.09867893334</v>
      </c>
      <c r="W42" s="62">
        <f t="shared" si="7"/>
        <v>296407.62892808532</v>
      </c>
      <c r="X42" s="61">
        <f t="shared" si="7"/>
        <v>269699.66029275733</v>
      </c>
      <c r="Y42" s="62">
        <f t="shared" ref="Y42:AB42" si="8">SUM(Y20:Y40)</f>
        <v>302683.18075187545</v>
      </c>
      <c r="Z42" s="61">
        <f t="shared" si="8"/>
        <v>275775.92437113432</v>
      </c>
      <c r="AA42" s="62">
        <f t="shared" si="8"/>
        <v>309209.75464861712</v>
      </c>
      <c r="AB42" s="61">
        <f t="shared" si="8"/>
        <v>282095.23901264631</v>
      </c>
    </row>
    <row r="43" spans="1:28" ht="15.75" thickBot="1" x14ac:dyDescent="0.3">
      <c r="A43" s="94"/>
      <c r="B43" s="95"/>
      <c r="C43" s="95"/>
      <c r="D43" s="96"/>
      <c r="E43" s="48"/>
      <c r="F43" s="48"/>
      <c r="G43" s="140"/>
      <c r="H43" s="40"/>
      <c r="I43" s="41"/>
      <c r="S43" s="41">
        <f>S42/Q42</f>
        <v>1.0199967550848612</v>
      </c>
      <c r="T43" s="41">
        <f t="shared" ref="T43:AA43" si="9">T42/R42</f>
        <v>1.0213646203128834</v>
      </c>
      <c r="U43" s="41">
        <f t="shared" si="9"/>
        <v>1.020388913184852</v>
      </c>
      <c r="V43" s="41">
        <f t="shared" si="9"/>
        <v>1.0217544299885692</v>
      </c>
      <c r="W43" s="41">
        <f t="shared" si="9"/>
        <v>1.0207807723489095</v>
      </c>
      <c r="X43" s="41">
        <f t="shared" si="9"/>
        <v>1.0221429009985945</v>
      </c>
      <c r="Y43" s="41">
        <f t="shared" si="9"/>
        <v>1.0211720320643727</v>
      </c>
      <c r="Z43" s="41">
        <f t="shared" si="9"/>
        <v>1.022529743166088</v>
      </c>
      <c r="AA43" s="41">
        <f t="shared" si="9"/>
        <v>1.0215623936570557</v>
      </c>
    </row>
    <row r="44" spans="1:28" ht="15.75" thickTop="1" x14ac:dyDescent="0.25">
      <c r="A44" s="106" t="s">
        <v>61</v>
      </c>
      <c r="B44" s="107"/>
      <c r="C44" s="107"/>
      <c r="D44" s="108"/>
      <c r="E44" s="49" t="s">
        <v>6</v>
      </c>
      <c r="F44" s="49" t="s">
        <v>6</v>
      </c>
      <c r="G44" s="141" t="s">
        <v>6</v>
      </c>
      <c r="H44" s="64">
        <f>H35+H42</f>
        <v>26.105642160636386</v>
      </c>
      <c r="I44" s="65">
        <f>SUM(I20:I43)</f>
        <v>0.99999999999999989</v>
      </c>
    </row>
    <row r="45" spans="1:28" ht="15.75" thickBot="1" x14ac:dyDescent="0.3">
      <c r="A45" s="89" t="s">
        <v>62</v>
      </c>
      <c r="B45" s="90"/>
      <c r="C45" s="90"/>
      <c r="D45" s="91"/>
      <c r="E45" s="66">
        <v>0.1</v>
      </c>
      <c r="F45" s="46"/>
      <c r="G45" s="139" t="s">
        <v>6</v>
      </c>
      <c r="H45" s="67">
        <f>H44*E45</f>
        <v>2.6105642160636386</v>
      </c>
    </row>
    <row r="46" spans="1:28" ht="16.5" thickTop="1" thickBot="1" x14ac:dyDescent="0.3">
      <c r="A46" s="89"/>
      <c r="B46" s="90"/>
      <c r="C46" s="90"/>
      <c r="D46" s="91"/>
      <c r="E46" s="46"/>
      <c r="F46" s="46"/>
      <c r="G46" s="143"/>
      <c r="H46" s="68"/>
      <c r="P46" s="29">
        <f>F46</f>
        <v>0</v>
      </c>
    </row>
    <row r="47" spans="1:28" ht="16.5" thickTop="1" thickBot="1" x14ac:dyDescent="0.3">
      <c r="A47" s="89" t="s">
        <v>63</v>
      </c>
      <c r="B47" s="90"/>
      <c r="C47" s="90"/>
      <c r="D47" s="91"/>
      <c r="E47" s="46"/>
      <c r="F47" s="46"/>
      <c r="G47" s="144" t="s">
        <v>6</v>
      </c>
      <c r="H47" s="69">
        <f>H44+H45</f>
        <v>28.716206376700026</v>
      </c>
      <c r="I47" s="70" t="s">
        <v>6</v>
      </c>
    </row>
    <row r="48" spans="1:28" ht="16.5" thickTop="1" thickBot="1" x14ac:dyDescent="0.3">
      <c r="A48" s="94"/>
      <c r="B48" s="95"/>
      <c r="C48" s="95"/>
      <c r="D48" s="96"/>
      <c r="E48" s="71"/>
      <c r="F48" s="71"/>
      <c r="G48" s="145"/>
      <c r="H48" s="72"/>
    </row>
    <row r="49" spans="1:31" ht="16.5" thickTop="1" thickBot="1" x14ac:dyDescent="0.3">
      <c r="A49" s="9"/>
      <c r="B49" s="9"/>
      <c r="C49" s="9"/>
      <c r="D49" s="159"/>
      <c r="E49" s="9"/>
      <c r="F49" s="9"/>
      <c r="G49" s="134"/>
      <c r="H49" s="9"/>
    </row>
    <row r="50" spans="1:31" ht="15.75" thickTop="1" x14ac:dyDescent="0.25">
      <c r="A50" s="101"/>
      <c r="B50" s="102"/>
      <c r="C50" s="102"/>
      <c r="D50" s="103"/>
      <c r="E50" s="104" t="s">
        <v>64</v>
      </c>
      <c r="F50" s="105"/>
      <c r="G50" s="134"/>
      <c r="H50" s="99" t="s">
        <v>65</v>
      </c>
      <c r="I50" s="100"/>
      <c r="J50" s="73">
        <v>2021</v>
      </c>
      <c r="Q50" s="99" t="s">
        <v>65</v>
      </c>
      <c r="R50" s="100"/>
      <c r="S50" s="73">
        <v>2022</v>
      </c>
      <c r="U50" s="99" t="s">
        <v>65</v>
      </c>
      <c r="V50" s="100"/>
      <c r="W50" s="73">
        <v>2023</v>
      </c>
      <c r="Y50" s="99" t="s">
        <v>65</v>
      </c>
      <c r="Z50" s="100"/>
      <c r="AA50" s="73">
        <v>2024</v>
      </c>
      <c r="AC50" s="99" t="s">
        <v>65</v>
      </c>
      <c r="AD50" s="100"/>
      <c r="AE50" s="73">
        <v>2025</v>
      </c>
    </row>
    <row r="51" spans="1:31" x14ac:dyDescent="0.25">
      <c r="A51" s="89" t="s">
        <v>66</v>
      </c>
      <c r="B51" s="90"/>
      <c r="C51" s="90"/>
      <c r="D51" s="91"/>
      <c r="E51" s="92">
        <f>H44</f>
        <v>26.105642160636386</v>
      </c>
      <c r="F51" s="93"/>
      <c r="G51" s="134"/>
      <c r="H51" s="74" t="s">
        <v>67</v>
      </c>
      <c r="I51" s="75"/>
      <c r="J51" s="76">
        <v>46</v>
      </c>
      <c r="Q51" s="74" t="s">
        <v>67</v>
      </c>
      <c r="R51" s="75"/>
      <c r="S51" s="76">
        <f>J51*104%</f>
        <v>47.84</v>
      </c>
      <c r="U51" s="74" t="s">
        <v>67</v>
      </c>
      <c r="V51" s="75"/>
      <c r="W51" s="76">
        <f>S51*104%</f>
        <v>49.753600000000006</v>
      </c>
      <c r="Y51" s="74" t="s">
        <v>67</v>
      </c>
      <c r="Z51" s="75"/>
      <c r="AA51" s="76">
        <f>W51*104%</f>
        <v>51.743744000000007</v>
      </c>
      <c r="AC51" s="74" t="s">
        <v>67</v>
      </c>
      <c r="AD51" s="75"/>
      <c r="AE51" s="76">
        <f>AA51*104%</f>
        <v>53.813493760000007</v>
      </c>
    </row>
    <row r="52" spans="1:31" x14ac:dyDescent="0.25">
      <c r="A52" s="89" t="s">
        <v>68</v>
      </c>
      <c r="B52" s="90"/>
      <c r="C52" s="90"/>
      <c r="D52" s="91"/>
      <c r="E52" s="92">
        <f>G62/D8</f>
        <v>30.5</v>
      </c>
      <c r="F52" s="93"/>
      <c r="G52" s="134"/>
      <c r="H52" s="74" t="s">
        <v>69</v>
      </c>
      <c r="I52" s="75"/>
      <c r="J52" s="76">
        <v>92</v>
      </c>
      <c r="Q52" s="74" t="s">
        <v>69</v>
      </c>
      <c r="R52" s="75"/>
      <c r="S52" s="76">
        <f>S51*2</f>
        <v>95.68</v>
      </c>
      <c r="U52" s="74" t="s">
        <v>69</v>
      </c>
      <c r="V52" s="75"/>
      <c r="W52" s="76">
        <f>W51*2</f>
        <v>99.507200000000012</v>
      </c>
      <c r="Y52" s="74" t="s">
        <v>69</v>
      </c>
      <c r="Z52" s="75"/>
      <c r="AA52" s="76">
        <f>AA51*2</f>
        <v>103.48748800000001</v>
      </c>
      <c r="AC52" s="74" t="s">
        <v>69</v>
      </c>
      <c r="AD52" s="75"/>
      <c r="AE52" s="76">
        <f>AE51*2</f>
        <v>107.62698752000001</v>
      </c>
    </row>
    <row r="53" spans="1:31" ht="15.75" thickBot="1" x14ac:dyDescent="0.3">
      <c r="A53" s="89" t="s">
        <v>70</v>
      </c>
      <c r="B53" s="90"/>
      <c r="C53" s="90"/>
      <c r="D53" s="91"/>
      <c r="E53" s="92">
        <f>E52-E51</f>
        <v>4.3943578393636145</v>
      </c>
      <c r="F53" s="93"/>
      <c r="G53" s="134"/>
      <c r="H53" s="77" t="s">
        <v>71</v>
      </c>
      <c r="I53" s="78"/>
      <c r="J53" s="79">
        <v>190</v>
      </c>
      <c r="Q53" s="77" t="s">
        <v>71</v>
      </c>
      <c r="R53" s="78"/>
      <c r="S53" s="79">
        <f>J53*104%</f>
        <v>197.6</v>
      </c>
      <c r="U53" s="77" t="s">
        <v>71</v>
      </c>
      <c r="V53" s="78"/>
      <c r="W53" s="79">
        <f>S53*104%</f>
        <v>205.50399999999999</v>
      </c>
      <c r="Y53" s="77" t="s">
        <v>71</v>
      </c>
      <c r="Z53" s="78"/>
      <c r="AA53" s="79">
        <f>W53*104%</f>
        <v>213.72415999999998</v>
      </c>
      <c r="AC53" s="77" t="s">
        <v>71</v>
      </c>
      <c r="AD53" s="78"/>
      <c r="AE53" s="79">
        <f>AA53*104%</f>
        <v>222.2731264</v>
      </c>
    </row>
    <row r="54" spans="1:31" ht="15.75" thickBot="1" x14ac:dyDescent="0.3">
      <c r="A54" s="94"/>
      <c r="B54" s="95"/>
      <c r="C54" s="95"/>
      <c r="D54" s="96"/>
      <c r="E54" s="97"/>
      <c r="F54" s="98"/>
      <c r="G54" s="134"/>
      <c r="H54" s="9"/>
    </row>
    <row r="55" spans="1:31" ht="15.75" thickTop="1" x14ac:dyDescent="0.25"/>
    <row r="56" spans="1:31" x14ac:dyDescent="0.25">
      <c r="A56" s="2" t="s">
        <v>72</v>
      </c>
      <c r="C56" s="80">
        <f>N38*E38</f>
        <v>23382</v>
      </c>
    </row>
    <row r="57" spans="1:31" x14ac:dyDescent="0.25">
      <c r="A57" s="2" t="s">
        <v>73</v>
      </c>
      <c r="B57" s="80"/>
      <c r="C57" s="80">
        <f>E40*N38</f>
        <v>35073</v>
      </c>
    </row>
    <row r="59" spans="1:31" ht="30" x14ac:dyDescent="0.25">
      <c r="A59" s="2" t="s">
        <v>74</v>
      </c>
      <c r="B59">
        <v>2024</v>
      </c>
      <c r="C59" s="81" t="s">
        <v>54</v>
      </c>
      <c r="D59" s="162" t="s">
        <v>75</v>
      </c>
      <c r="E59" s="81" t="s">
        <v>76</v>
      </c>
      <c r="F59" s="81" t="s">
        <v>56</v>
      </c>
      <c r="G59" s="147" t="s">
        <v>77</v>
      </c>
      <c r="H59" s="81" t="s">
        <v>78</v>
      </c>
      <c r="J59" s="81" t="s">
        <v>79</v>
      </c>
    </row>
    <row r="60" spans="1:31" x14ac:dyDescent="0.25">
      <c r="A60" s="2" t="s">
        <v>81</v>
      </c>
      <c r="C60" s="55">
        <v>6</v>
      </c>
      <c r="D60" s="163">
        <v>620</v>
      </c>
      <c r="E60" s="54">
        <v>15</v>
      </c>
      <c r="F60" s="55">
        <v>4.33</v>
      </c>
      <c r="G60" s="148">
        <f>C60*D60*E60*F60</f>
        <v>241614</v>
      </c>
      <c r="H60" s="83">
        <f>H44*D8</f>
        <v>271289.83333333331</v>
      </c>
      <c r="J60" s="54">
        <f>G60/D60</f>
        <v>389.7</v>
      </c>
    </row>
    <row r="61" spans="1:31" x14ac:dyDescent="0.25">
      <c r="A61" s="2" t="s">
        <v>82</v>
      </c>
      <c r="C61" s="55">
        <v>5</v>
      </c>
      <c r="D61" s="163">
        <v>580</v>
      </c>
      <c r="E61" s="54">
        <v>6</v>
      </c>
      <c r="F61" s="55">
        <v>4.33</v>
      </c>
      <c r="G61" s="148">
        <f>C61*D61*E61*F61</f>
        <v>75342</v>
      </c>
      <c r="H61" s="83">
        <v>0</v>
      </c>
      <c r="J61" s="54">
        <f>G61/D61</f>
        <v>129.9</v>
      </c>
    </row>
    <row r="62" spans="1:31" x14ac:dyDescent="0.25">
      <c r="C62" s="63"/>
      <c r="D62" s="164"/>
      <c r="E62" s="63"/>
      <c r="F62" s="63"/>
      <c r="G62" s="149">
        <f>SUM(G60:G61)</f>
        <v>316956</v>
      </c>
      <c r="H62" s="84">
        <f>SUM(H60:H61)</f>
        <v>271289.83333333331</v>
      </c>
      <c r="J62" s="54">
        <f>SUM(J60:J61)</f>
        <v>519.6</v>
      </c>
    </row>
    <row r="63" spans="1:31" x14ac:dyDescent="0.25">
      <c r="A63" s="2" t="s">
        <v>80</v>
      </c>
      <c r="D63" s="164"/>
      <c r="G63" s="149">
        <f>SUM(G62-H62)</f>
        <v>45666.166666666686</v>
      </c>
    </row>
    <row r="64" spans="1:31" x14ac:dyDescent="0.25">
      <c r="D64" s="164"/>
    </row>
    <row r="65" spans="1:23" ht="30" x14ac:dyDescent="0.25">
      <c r="C65" s="81" t="s">
        <v>54</v>
      </c>
      <c r="D65" s="162" t="s">
        <v>75</v>
      </c>
      <c r="E65" s="81" t="s">
        <v>76</v>
      </c>
      <c r="F65" s="81" t="s">
        <v>56</v>
      </c>
      <c r="G65" s="147" t="s">
        <v>77</v>
      </c>
    </row>
    <row r="66" spans="1:23" x14ac:dyDescent="0.25">
      <c r="A66" s="2" t="s">
        <v>74</v>
      </c>
      <c r="B66">
        <v>2025</v>
      </c>
      <c r="C66" s="55">
        <v>6</v>
      </c>
      <c r="D66" s="163">
        <v>620</v>
      </c>
      <c r="E66" s="54">
        <v>15</v>
      </c>
      <c r="F66" s="55">
        <v>4.33</v>
      </c>
      <c r="G66" s="148">
        <f>C66*D66*E66*F66</f>
        <v>241614</v>
      </c>
      <c r="H66" s="81" t="s">
        <v>78</v>
      </c>
      <c r="J66" s="81" t="s">
        <v>79</v>
      </c>
    </row>
    <row r="67" spans="1:23" x14ac:dyDescent="0.25">
      <c r="A67" s="2" t="s">
        <v>81</v>
      </c>
      <c r="C67" s="55">
        <v>5</v>
      </c>
      <c r="D67" s="164">
        <f>D61+(D61*5%)</f>
        <v>609</v>
      </c>
      <c r="E67" s="54">
        <v>6</v>
      </c>
      <c r="F67" s="55">
        <v>4.33</v>
      </c>
      <c r="G67" s="148">
        <f>C67*D67*E67*F67</f>
        <v>79109.100000000006</v>
      </c>
      <c r="H67" s="83">
        <f>SUM(Q42)</f>
        <v>278992.40133333334</v>
      </c>
      <c r="J67" s="54">
        <f>G66/D66</f>
        <v>389.7</v>
      </c>
    </row>
    <row r="68" spans="1:23" x14ac:dyDescent="0.25">
      <c r="A68" s="2" t="s">
        <v>82</v>
      </c>
      <c r="C68" s="63"/>
      <c r="D68" s="163"/>
      <c r="E68" s="63"/>
      <c r="F68" s="63"/>
      <c r="G68" s="149">
        <f>SUM(G66:G67)</f>
        <v>320723.09999999998</v>
      </c>
      <c r="H68" s="83">
        <f>SUM(Q43)</f>
        <v>0</v>
      </c>
      <c r="J68" s="54" t="e">
        <f>G67/D68</f>
        <v>#DIV/0!</v>
      </c>
    </row>
    <row r="69" spans="1:23" x14ac:dyDescent="0.25">
      <c r="D69" s="164"/>
      <c r="G69" s="149">
        <f>SUM(G68-H69)</f>
        <v>41730.698666666634</v>
      </c>
      <c r="H69" s="84">
        <f>SUM(H67:H68)</f>
        <v>278992.40133333334</v>
      </c>
      <c r="J69" s="54" t="e">
        <f>SUM(J67:J68)</f>
        <v>#DIV/0!</v>
      </c>
      <c r="Q69" t="s">
        <v>6</v>
      </c>
    </row>
    <row r="70" spans="1:23" x14ac:dyDescent="0.25">
      <c r="A70" s="2" t="s">
        <v>80</v>
      </c>
      <c r="D70" s="164"/>
    </row>
    <row r="71" spans="1:23" ht="30" x14ac:dyDescent="0.25">
      <c r="A71" s="2" t="s">
        <v>82</v>
      </c>
      <c r="C71" s="81" t="s">
        <v>54</v>
      </c>
      <c r="D71" s="162" t="s">
        <v>75</v>
      </c>
      <c r="E71" s="81" t="s">
        <v>76</v>
      </c>
      <c r="F71" s="81" t="s">
        <v>56</v>
      </c>
      <c r="G71" s="147" t="s">
        <v>77</v>
      </c>
    </row>
    <row r="72" spans="1:23" x14ac:dyDescent="0.25">
      <c r="A72" s="2" t="s">
        <v>74</v>
      </c>
      <c r="B72">
        <v>2026</v>
      </c>
      <c r="C72" s="55">
        <v>6</v>
      </c>
      <c r="D72" s="163">
        <v>620</v>
      </c>
      <c r="E72" s="54">
        <v>15</v>
      </c>
      <c r="F72" s="55">
        <v>4.33</v>
      </c>
      <c r="G72" s="148">
        <f>C72*D72*E72*F72</f>
        <v>241614</v>
      </c>
      <c r="H72" s="81" t="s">
        <v>78</v>
      </c>
    </row>
    <row r="73" spans="1:23" x14ac:dyDescent="0.25">
      <c r="A73" s="2" t="s">
        <v>81</v>
      </c>
      <c r="C73" s="55">
        <v>5</v>
      </c>
      <c r="D73" s="163">
        <f>D67+(D67*5%)</f>
        <v>639.45000000000005</v>
      </c>
      <c r="E73" s="54">
        <v>6</v>
      </c>
      <c r="F73" s="55">
        <v>4.33</v>
      </c>
      <c r="G73" s="148">
        <f>C73*D73*E73*F73</f>
        <v>83064.555000000008</v>
      </c>
      <c r="H73" s="83">
        <f>SUM(S42)</f>
        <v>284571.34405333333</v>
      </c>
      <c r="Q73" s="85"/>
      <c r="R73" s="85"/>
      <c r="S73" s="85"/>
      <c r="T73" s="85"/>
      <c r="U73" s="85"/>
      <c r="V73" s="85"/>
      <c r="W73" s="85"/>
    </row>
    <row r="74" spans="1:23" x14ac:dyDescent="0.25">
      <c r="A74" s="2" t="s">
        <v>82</v>
      </c>
      <c r="C74" s="63"/>
      <c r="D74" s="164"/>
      <c r="E74" s="63"/>
      <c r="F74" s="63"/>
      <c r="G74" s="149">
        <f>SUM(G72:G73)</f>
        <v>324678.55499999999</v>
      </c>
      <c r="H74" s="86">
        <v>0</v>
      </c>
      <c r="Q74" s="85"/>
      <c r="R74" s="85"/>
      <c r="S74" s="85"/>
      <c r="T74" s="85"/>
      <c r="U74" s="85"/>
      <c r="V74" s="85"/>
      <c r="W74" s="85"/>
    </row>
    <row r="75" spans="1:23" x14ac:dyDescent="0.25">
      <c r="D75" s="164"/>
      <c r="G75" s="149">
        <f>SUM(G74-H75)</f>
        <v>40107.210946666659</v>
      </c>
      <c r="H75" s="84">
        <f>SUM(H73:H74)</f>
        <v>284571.34405333333</v>
      </c>
    </row>
    <row r="76" spans="1:23" x14ac:dyDescent="0.25">
      <c r="A76" s="2" t="s">
        <v>80</v>
      </c>
      <c r="D76" s="164"/>
    </row>
    <row r="77" spans="1:23" ht="30" x14ac:dyDescent="0.25">
      <c r="C77" s="81" t="s">
        <v>54</v>
      </c>
      <c r="D77" s="162" t="s">
        <v>75</v>
      </c>
      <c r="E77" s="81" t="s">
        <v>76</v>
      </c>
      <c r="F77" s="81" t="s">
        <v>56</v>
      </c>
      <c r="G77" s="147" t="s">
        <v>77</v>
      </c>
    </row>
    <row r="78" spans="1:23" x14ac:dyDescent="0.25">
      <c r="A78" s="2" t="s">
        <v>74</v>
      </c>
      <c r="B78">
        <v>2027</v>
      </c>
      <c r="C78" s="55">
        <v>6</v>
      </c>
      <c r="D78" s="163">
        <v>620</v>
      </c>
      <c r="E78" s="54">
        <v>15</v>
      </c>
      <c r="F78" s="55">
        <v>4.33</v>
      </c>
      <c r="G78" s="148">
        <f>C78*D78*E78*F78</f>
        <v>241614</v>
      </c>
      <c r="H78" s="81" t="s">
        <v>78</v>
      </c>
    </row>
    <row r="79" spans="1:23" x14ac:dyDescent="0.25">
      <c r="A79" s="2" t="s">
        <v>81</v>
      </c>
      <c r="C79" s="55">
        <v>5</v>
      </c>
      <c r="D79" s="163">
        <f>D73+(D73*5%)</f>
        <v>671.42250000000001</v>
      </c>
      <c r="E79" s="54">
        <v>6</v>
      </c>
      <c r="F79" s="55">
        <v>4.33</v>
      </c>
      <c r="G79" s="148">
        <f>C79*D79*E79*F79</f>
        <v>87217.782750000013</v>
      </c>
      <c r="H79" s="83">
        <f>SUM(U42)</f>
        <v>290373.44448213337</v>
      </c>
    </row>
    <row r="80" spans="1:23" x14ac:dyDescent="0.25">
      <c r="A80" s="2" t="s">
        <v>82</v>
      </c>
      <c r="C80" s="63"/>
      <c r="D80" s="164"/>
      <c r="E80" s="63"/>
      <c r="F80" s="63"/>
      <c r="G80" s="149">
        <f>SUM(G78:G79)</f>
        <v>328831.78275000001</v>
      </c>
      <c r="H80" s="86">
        <v>0</v>
      </c>
    </row>
    <row r="81" spans="1:8" x14ac:dyDescent="0.25">
      <c r="D81" s="164"/>
      <c r="G81" s="149">
        <f>SUM(G80-H81)</f>
        <v>38458.338267866638</v>
      </c>
      <c r="H81" s="84">
        <f>SUM(H79:H80)</f>
        <v>290373.44448213337</v>
      </c>
    </row>
    <row r="82" spans="1:8" x14ac:dyDescent="0.25">
      <c r="A82" s="2" t="s">
        <v>80</v>
      </c>
      <c r="D82" s="164"/>
    </row>
    <row r="83" spans="1:8" ht="30" x14ac:dyDescent="0.25">
      <c r="C83" s="81" t="s">
        <v>54</v>
      </c>
      <c r="D83" s="162" t="s">
        <v>75</v>
      </c>
      <c r="E83" s="81" t="s">
        <v>76</v>
      </c>
      <c r="F83" s="81" t="s">
        <v>56</v>
      </c>
      <c r="G83" s="147" t="s">
        <v>77</v>
      </c>
    </row>
    <row r="84" spans="1:8" x14ac:dyDescent="0.25">
      <c r="A84" s="2" t="s">
        <v>74</v>
      </c>
      <c r="B84">
        <v>2028</v>
      </c>
      <c r="C84" s="55">
        <v>6</v>
      </c>
      <c r="D84" s="163">
        <v>620</v>
      </c>
      <c r="E84" s="54">
        <v>15</v>
      </c>
      <c r="F84" s="55">
        <v>4.33</v>
      </c>
      <c r="G84" s="148">
        <f>C84*D84*E84*F84</f>
        <v>241614</v>
      </c>
      <c r="H84" s="81" t="s">
        <v>78</v>
      </c>
    </row>
    <row r="85" spans="1:8" x14ac:dyDescent="0.25">
      <c r="A85" s="2" t="s">
        <v>81</v>
      </c>
      <c r="C85" s="55">
        <v>5</v>
      </c>
      <c r="D85" s="163">
        <f>D79+(D79*5%)</f>
        <v>704.99362500000007</v>
      </c>
      <c r="E85" s="54">
        <v>6</v>
      </c>
      <c r="F85" s="55">
        <v>4.33</v>
      </c>
      <c r="G85" s="148">
        <f>C85*D85*E85*F85</f>
        <v>91578.671887500022</v>
      </c>
      <c r="H85" s="83">
        <f>SUM(W42)</f>
        <v>296407.62892808532</v>
      </c>
    </row>
    <row r="86" spans="1:8" x14ac:dyDescent="0.25">
      <c r="A86" s="2" t="s">
        <v>82</v>
      </c>
      <c r="C86" s="63"/>
      <c r="D86" s="164"/>
      <c r="E86" s="63"/>
      <c r="F86" s="63"/>
      <c r="G86" s="149">
        <f>SUM(G84:G85)</f>
        <v>333192.67188750004</v>
      </c>
      <c r="H86" s="86">
        <v>0</v>
      </c>
    </row>
    <row r="87" spans="1:8" x14ac:dyDescent="0.25">
      <c r="D87" s="164"/>
      <c r="G87" s="149">
        <f>SUM(G86-H87)</f>
        <v>36785.042959414714</v>
      </c>
      <c r="H87" s="84">
        <f>SUM(H85:H86)</f>
        <v>296407.62892808532</v>
      </c>
    </row>
    <row r="88" spans="1:8" x14ac:dyDescent="0.25">
      <c r="A88" s="2" t="s">
        <v>80</v>
      </c>
      <c r="D88" s="164"/>
    </row>
    <row r="89" spans="1:8" ht="30" x14ac:dyDescent="0.25">
      <c r="A89" s="2"/>
      <c r="C89" s="81" t="s">
        <v>54</v>
      </c>
      <c r="D89" s="162" t="s">
        <v>75</v>
      </c>
      <c r="E89" s="81" t="s">
        <v>76</v>
      </c>
      <c r="F89" s="81" t="s">
        <v>56</v>
      </c>
      <c r="G89" s="147" t="s">
        <v>77</v>
      </c>
    </row>
    <row r="90" spans="1:8" x14ac:dyDescent="0.25">
      <c r="A90" s="2" t="s">
        <v>74</v>
      </c>
      <c r="B90">
        <v>2029</v>
      </c>
      <c r="C90" s="55">
        <v>6</v>
      </c>
      <c r="D90" s="163">
        <v>620</v>
      </c>
      <c r="E90" s="54">
        <v>15</v>
      </c>
      <c r="F90" s="55">
        <v>4.33</v>
      </c>
      <c r="G90" s="148">
        <f>C90*D90*E90*F90</f>
        <v>241614</v>
      </c>
      <c r="H90" s="81" t="s">
        <v>78</v>
      </c>
    </row>
    <row r="91" spans="1:8" x14ac:dyDescent="0.25">
      <c r="A91" s="2" t="s">
        <v>81</v>
      </c>
      <c r="C91" s="55">
        <v>5</v>
      </c>
      <c r="D91" s="163">
        <f>D85+(D85*5%)</f>
        <v>740.24330625000005</v>
      </c>
      <c r="E91" s="54">
        <v>6</v>
      </c>
      <c r="F91" s="55">
        <v>4.33</v>
      </c>
      <c r="G91" s="148">
        <f>C91*D91*E91*F91</f>
        <v>96157.605481874998</v>
      </c>
      <c r="H91" s="83">
        <f>Y42</f>
        <v>302683.18075187545</v>
      </c>
    </row>
    <row r="92" spans="1:8" x14ac:dyDescent="0.25">
      <c r="A92" s="2"/>
      <c r="C92" s="63"/>
      <c r="D92" s="164"/>
      <c r="E92" s="63"/>
      <c r="F92" s="63"/>
      <c r="G92" s="149">
        <f>SUM(G90:G91)</f>
        <v>337771.60548187501</v>
      </c>
      <c r="H92" s="86">
        <v>0</v>
      </c>
    </row>
    <row r="93" spans="1:8" x14ac:dyDescent="0.25">
      <c r="D93" s="164"/>
      <c r="G93" s="149">
        <f>SUM(G92-H93)</f>
        <v>35088.424729999562</v>
      </c>
      <c r="H93" s="84">
        <f>SUM(H91:H92)</f>
        <v>302683.18075187545</v>
      </c>
    </row>
    <row r="94" spans="1:8" x14ac:dyDescent="0.25">
      <c r="A94" s="2" t="s">
        <v>80</v>
      </c>
      <c r="D94" s="164"/>
    </row>
    <row r="95" spans="1:8" ht="30" x14ac:dyDescent="0.25">
      <c r="C95" s="81" t="s">
        <v>54</v>
      </c>
      <c r="D95" s="162" t="s">
        <v>75</v>
      </c>
      <c r="E95" s="81" t="s">
        <v>76</v>
      </c>
      <c r="F95" s="81" t="s">
        <v>56</v>
      </c>
      <c r="G95" s="147" t="s">
        <v>77</v>
      </c>
    </row>
    <row r="96" spans="1:8" x14ac:dyDescent="0.25">
      <c r="A96" s="2" t="s">
        <v>74</v>
      </c>
      <c r="B96">
        <v>2030</v>
      </c>
      <c r="C96" s="55">
        <v>6</v>
      </c>
      <c r="D96" s="163">
        <v>620</v>
      </c>
      <c r="E96" s="54">
        <v>15</v>
      </c>
      <c r="F96" s="55">
        <v>4.33</v>
      </c>
      <c r="G96" s="148">
        <f>C96*D96*E96*F96</f>
        <v>241614</v>
      </c>
      <c r="H96" s="81" t="s">
        <v>78</v>
      </c>
    </row>
    <row r="97" spans="1:8" x14ac:dyDescent="0.25">
      <c r="A97" s="2" t="s">
        <v>81</v>
      </c>
      <c r="C97" s="55">
        <v>5</v>
      </c>
      <c r="D97" s="163">
        <f>D91+(D91*5%)</f>
        <v>777.25547156250002</v>
      </c>
      <c r="E97" s="54">
        <v>6</v>
      </c>
      <c r="F97" s="55">
        <v>4.33</v>
      </c>
      <c r="G97" s="148">
        <f>C97*D97*E97*F97</f>
        <v>100965.48575596877</v>
      </c>
      <c r="H97" s="83">
        <f>AA42</f>
        <v>309209.75464861712</v>
      </c>
    </row>
    <row r="98" spans="1:8" x14ac:dyDescent="0.25">
      <c r="A98" s="2"/>
      <c r="C98" s="63"/>
      <c r="D98" s="164"/>
      <c r="E98" s="63"/>
      <c r="F98" s="63"/>
      <c r="G98" s="149">
        <f>SUM(G96:G97)</f>
        <v>342579.48575596878</v>
      </c>
      <c r="H98" s="86">
        <v>0</v>
      </c>
    </row>
    <row r="99" spans="1:8" x14ac:dyDescent="0.25">
      <c r="D99" s="164"/>
      <c r="G99" s="149">
        <f>SUM(G98-H99)</f>
        <v>33369.731107351661</v>
      </c>
      <c r="H99" s="84">
        <f>SUM(H97:H98)</f>
        <v>309209.75464861712</v>
      </c>
    </row>
    <row r="100" spans="1:8" x14ac:dyDescent="0.25">
      <c r="A100" s="2" t="s">
        <v>80</v>
      </c>
      <c r="D100" s="164"/>
    </row>
    <row r="101" spans="1:8" x14ac:dyDescent="0.25">
      <c r="D101" s="164"/>
    </row>
    <row r="102" spans="1:8" x14ac:dyDescent="0.25">
      <c r="D102" s="164"/>
    </row>
    <row r="103" spans="1:8" x14ac:dyDescent="0.25">
      <c r="D103" s="164"/>
    </row>
    <row r="104" spans="1:8" x14ac:dyDescent="0.25">
      <c r="D104" s="164"/>
    </row>
    <row r="105" spans="1:8" x14ac:dyDescent="0.25">
      <c r="D105" s="164"/>
    </row>
    <row r="106" spans="1:8" x14ac:dyDescent="0.25">
      <c r="D106" s="164"/>
    </row>
    <row r="107" spans="1:8" x14ac:dyDescent="0.25">
      <c r="D107" s="164"/>
    </row>
    <row r="108" spans="1:8" x14ac:dyDescent="0.25">
      <c r="D108" s="164"/>
    </row>
    <row r="109" spans="1:8" x14ac:dyDescent="0.25">
      <c r="D109" s="164"/>
    </row>
    <row r="110" spans="1:8" x14ac:dyDescent="0.25">
      <c r="D110" s="164"/>
    </row>
    <row r="111" spans="1:8" x14ac:dyDescent="0.25">
      <c r="D111" s="164"/>
    </row>
  </sheetData>
  <mergeCells count="64">
    <mergeCell ref="Y18:Z18"/>
    <mergeCell ref="AA18:AB18"/>
    <mergeCell ref="C1:I1"/>
    <mergeCell ref="A15:C15"/>
    <mergeCell ref="A2:C2"/>
    <mergeCell ref="A3:C3"/>
    <mergeCell ref="A4:C4"/>
    <mergeCell ref="A5:C5"/>
    <mergeCell ref="A6:C6"/>
    <mergeCell ref="A7:C7"/>
    <mergeCell ref="A8:C8"/>
    <mergeCell ref="A9:C9"/>
    <mergeCell ref="A12:C12"/>
    <mergeCell ref="A13:C13"/>
    <mergeCell ref="A14:C14"/>
    <mergeCell ref="A16:C16"/>
    <mergeCell ref="Q16:X16"/>
    <mergeCell ref="Q18:R18"/>
    <mergeCell ref="S18:T18"/>
    <mergeCell ref="U18:V18"/>
    <mergeCell ref="W18:X18"/>
    <mergeCell ref="A30:D30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C28"/>
    <mergeCell ref="A29:D29"/>
    <mergeCell ref="A44:D44"/>
    <mergeCell ref="A31:D31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51:D51"/>
    <mergeCell ref="E51:F51"/>
    <mergeCell ref="A45:D45"/>
    <mergeCell ref="A46:D46"/>
    <mergeCell ref="A47:D47"/>
    <mergeCell ref="A48:D48"/>
    <mergeCell ref="A50:D50"/>
    <mergeCell ref="E50:F50"/>
    <mergeCell ref="H50:I50"/>
    <mergeCell ref="Q50:R50"/>
    <mergeCell ref="U50:V50"/>
    <mergeCell ref="Y50:Z50"/>
    <mergeCell ref="AC50:AD50"/>
    <mergeCell ref="A52:D52"/>
    <mergeCell ref="E52:F52"/>
    <mergeCell ref="A53:D53"/>
    <mergeCell ref="E53:F53"/>
    <mergeCell ref="A54:D54"/>
    <mergeCell ref="E54:F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Scania+Metro6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du Plessis</dc:creator>
  <cp:lastModifiedBy>Rudzani Mukhwanteli</cp:lastModifiedBy>
  <dcterms:created xsi:type="dcterms:W3CDTF">2023-06-14T07:31:11Z</dcterms:created>
  <dcterms:modified xsi:type="dcterms:W3CDTF">2024-04-26T11:00:05Z</dcterms:modified>
</cp:coreProperties>
</file>